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G\Downloads\global dashboard making\"/>
    </mc:Choice>
  </mc:AlternateContent>
  <xr:revisionPtr revIDLastSave="0" documentId="13_ncr:1_{B967FAF8-EA39-4CE4-B057-EC255F754C46}" xr6:coauthVersionLast="47" xr6:coauthVersionMax="47" xr10:uidLastSave="{00000000-0000-0000-0000-000000000000}"/>
  <bookViews>
    <workbookView xWindow="-37640" yWindow="-4230" windowWidth="28800" windowHeight="15370" xr2:uid="{00000000-000D-0000-FFFF-FFFF00000000}"/>
  </bookViews>
  <sheets>
    <sheet name="요약" sheetId="1" r:id="rId1"/>
    <sheet name="Global(계약시점)" sheetId="2" r:id="rId2"/>
    <sheet name="손익계산서(월별)" sheetId="3" r:id="rId3"/>
    <sheet name="Sheet4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3" i="1"/>
  <c r="C22" i="1" s="1"/>
  <c r="C29" i="1"/>
  <c r="C30" i="1"/>
  <c r="C35" i="1"/>
  <c r="C36" i="1"/>
  <c r="C37" i="1"/>
  <c r="C39" i="1"/>
  <c r="C41" i="1"/>
  <c r="C42" i="1"/>
  <c r="C46" i="1"/>
  <c r="C47" i="1"/>
  <c r="C48" i="1"/>
  <c r="C50" i="1"/>
  <c r="C53" i="1"/>
  <c r="U20" i="4"/>
  <c r="S20" i="4"/>
  <c r="Q20" i="4"/>
  <c r="O20" i="4"/>
  <c r="M20" i="4"/>
  <c r="K20" i="4"/>
  <c r="I20" i="4"/>
  <c r="G20" i="4"/>
  <c r="E20" i="4"/>
  <c r="C20" i="4"/>
  <c r="N23" i="3"/>
  <c r="L23" i="3"/>
  <c r="K23" i="3"/>
  <c r="J23" i="3"/>
  <c r="I23" i="3"/>
  <c r="H23" i="3"/>
  <c r="G23" i="3"/>
  <c r="F23" i="3"/>
  <c r="E23" i="3"/>
  <c r="D23" i="3"/>
  <c r="C23" i="3"/>
  <c r="I22" i="3"/>
  <c r="E22" i="3"/>
  <c r="C22" i="3"/>
  <c r="I21" i="3"/>
  <c r="E21" i="3"/>
  <c r="N17" i="3"/>
  <c r="M17" i="3"/>
  <c r="M15" i="3" s="1"/>
  <c r="L17" i="3"/>
  <c r="K17" i="3"/>
  <c r="J17" i="3"/>
  <c r="I17" i="3"/>
  <c r="H17" i="3"/>
  <c r="G17" i="3"/>
  <c r="G15" i="3" s="1"/>
  <c r="N16" i="3"/>
  <c r="N15" i="3" s="1"/>
  <c r="M16" i="3"/>
  <c r="L16" i="3"/>
  <c r="K16" i="3"/>
  <c r="K15" i="3" s="1"/>
  <c r="J16" i="3"/>
  <c r="J15" i="3" s="1"/>
  <c r="I16" i="3"/>
  <c r="H16" i="3"/>
  <c r="G16" i="3"/>
  <c r="F16" i="3"/>
  <c r="F15" i="3" s="1"/>
  <c r="E16" i="3"/>
  <c r="D16" i="3"/>
  <c r="C16" i="3"/>
  <c r="B16" i="3" s="1"/>
  <c r="L15" i="3"/>
  <c r="I15" i="3"/>
  <c r="H15" i="3"/>
  <c r="E15" i="3"/>
  <c r="D15" i="3"/>
  <c r="C15" i="3"/>
  <c r="M11" i="3"/>
  <c r="M23" i="3" s="1"/>
  <c r="B11" i="3"/>
  <c r="N10" i="3"/>
  <c r="N22" i="3" s="1"/>
  <c r="N21" i="3" s="1"/>
  <c r="M10" i="3"/>
  <c r="M22" i="3" s="1"/>
  <c r="M21" i="3" s="1"/>
  <c r="L10" i="3"/>
  <c r="L9" i="3" s="1"/>
  <c r="K10" i="3"/>
  <c r="K9" i="3" s="1"/>
  <c r="J10" i="3"/>
  <c r="J9" i="3" s="1"/>
  <c r="I10" i="3"/>
  <c r="H10" i="3"/>
  <c r="H22" i="3" s="1"/>
  <c r="H21" i="3" s="1"/>
  <c r="G10" i="3"/>
  <c r="G9" i="3" s="1"/>
  <c r="F10" i="3"/>
  <c r="F9" i="3" s="1"/>
  <c r="E10" i="3"/>
  <c r="D10" i="3"/>
  <c r="D22" i="3" s="1"/>
  <c r="D21" i="3" s="1"/>
  <c r="C10" i="3"/>
  <c r="C9" i="3" s="1"/>
  <c r="B10" i="3"/>
  <c r="N9" i="3"/>
  <c r="M9" i="3"/>
  <c r="I9" i="3"/>
  <c r="H9" i="3"/>
  <c r="E9" i="3"/>
  <c r="D9" i="3"/>
  <c r="B5" i="3"/>
  <c r="B4" i="3"/>
  <c r="B3" i="3"/>
  <c r="AL50" i="2"/>
  <c r="Z50" i="2"/>
  <c r="N50" i="2"/>
  <c r="Z49" i="2"/>
  <c r="N49" i="2"/>
  <c r="K49" i="2"/>
  <c r="K50" i="2" s="1"/>
  <c r="G48" i="2"/>
  <c r="K47" i="2"/>
  <c r="G47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I47" i="2" s="1"/>
  <c r="CH46" i="2"/>
  <c r="CG46" i="2"/>
  <c r="CF46" i="2"/>
  <c r="CE46" i="2"/>
  <c r="CD46" i="2"/>
  <c r="CC46" i="2"/>
  <c r="CB46" i="2"/>
  <c r="CA46" i="2"/>
  <c r="BZ46" i="2"/>
  <c r="BY46" i="2"/>
  <c r="BX46" i="2"/>
  <c r="BW46" i="2"/>
  <c r="BW47" i="2" s="1"/>
  <c r="BV46" i="2"/>
  <c r="BU46" i="2"/>
  <c r="BT46" i="2"/>
  <c r="BS46" i="2"/>
  <c r="BR46" i="2"/>
  <c r="BQ46" i="2"/>
  <c r="BP46" i="2"/>
  <c r="BO46" i="2"/>
  <c r="BN46" i="2"/>
  <c r="BM46" i="2"/>
  <c r="BL46" i="2"/>
  <c r="BK46" i="2"/>
  <c r="BK47" i="2" s="1"/>
  <c r="BJ46" i="2"/>
  <c r="BI46" i="2"/>
  <c r="BH46" i="2"/>
  <c r="BG46" i="2"/>
  <c r="BF46" i="2"/>
  <c r="BE46" i="2"/>
  <c r="BD46" i="2"/>
  <c r="BC46" i="2"/>
  <c r="BB46" i="2"/>
  <c r="BA46" i="2"/>
  <c r="AZ46" i="2"/>
  <c r="AY46" i="2"/>
  <c r="AY47" i="2" s="1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L47" i="2" s="1"/>
  <c r="AJ46" i="2"/>
  <c r="AI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7" i="2" s="1"/>
  <c r="N46" i="2"/>
  <c r="G46" i="2"/>
  <c r="Y45" i="2"/>
  <c r="X45" i="2"/>
  <c r="W45" i="2"/>
  <c r="V45" i="2"/>
  <c r="U45" i="2"/>
  <c r="T45" i="2"/>
  <c r="S45" i="2"/>
  <c r="R45" i="2"/>
  <c r="Q45" i="2"/>
  <c r="P45" i="2"/>
  <c r="O45" i="2"/>
  <c r="N45" i="2"/>
  <c r="G45" i="2"/>
  <c r="G5" i="1" s="1"/>
  <c r="CT43" i="2"/>
  <c r="CS43" i="2"/>
  <c r="CR43" i="2"/>
  <c r="CQ43" i="2"/>
  <c r="CP43" i="2"/>
  <c r="CH43" i="2"/>
  <c r="CF43" i="2"/>
  <c r="CE43" i="2"/>
  <c r="BZ43" i="2"/>
  <c r="BR43" i="2"/>
  <c r="BP43" i="2"/>
  <c r="BO43" i="2"/>
  <c r="BJ43" i="2"/>
  <c r="BB43" i="2"/>
  <c r="AZ43" i="2"/>
  <c r="AY43" i="2"/>
  <c r="AT43" i="2"/>
  <c r="AK43" i="2"/>
  <c r="AK51" i="2" s="1"/>
  <c r="AJ43" i="2"/>
  <c r="AI43" i="2"/>
  <c r="AH43" i="2"/>
  <c r="AG43" i="2"/>
  <c r="AF43" i="2"/>
  <c r="AE43" i="2"/>
  <c r="AD43" i="2"/>
  <c r="AC43" i="2"/>
  <c r="AB43" i="2"/>
  <c r="AA43" i="2"/>
  <c r="Z43" i="2"/>
  <c r="Z44" i="2" s="1"/>
  <c r="D4" i="1" s="1"/>
  <c r="Y43" i="2"/>
  <c r="X43" i="2"/>
  <c r="W43" i="2"/>
  <c r="V43" i="2"/>
  <c r="U43" i="2"/>
  <c r="T43" i="2"/>
  <c r="S43" i="2"/>
  <c r="R43" i="2"/>
  <c r="Q43" i="2"/>
  <c r="P43" i="2"/>
  <c r="O43" i="2"/>
  <c r="N43" i="2"/>
  <c r="N44" i="2" s="1"/>
  <c r="C4" i="1" s="1"/>
  <c r="M43" i="2"/>
  <c r="L43" i="2"/>
  <c r="K43" i="2"/>
  <c r="H43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K44" i="2" s="1"/>
  <c r="L42" i="2"/>
  <c r="K42" i="2"/>
  <c r="H42" i="2"/>
  <c r="H41" i="2"/>
  <c r="CU40" i="2"/>
  <c r="H40" i="2"/>
  <c r="CU39" i="2"/>
  <c r="CU38" i="2"/>
  <c r="CU37" i="2"/>
  <c r="CU36" i="2"/>
  <c r="CU35" i="2"/>
  <c r="CU34" i="2"/>
  <c r="CU33" i="2"/>
  <c r="CU32" i="2"/>
  <c r="CU31" i="2"/>
  <c r="CU30" i="2"/>
  <c r="CU29" i="2"/>
  <c r="CU28" i="2"/>
  <c r="CU27" i="2"/>
  <c r="AM26" i="2"/>
  <c r="CU25" i="2"/>
  <c r="CU24" i="2"/>
  <c r="CU23" i="2"/>
  <c r="CU22" i="2"/>
  <c r="CU21" i="2"/>
  <c r="CP20" i="2"/>
  <c r="CO20" i="2"/>
  <c r="CN20" i="2"/>
  <c r="CM20" i="2"/>
  <c r="CM43" i="2" s="1"/>
  <c r="CL20" i="2"/>
  <c r="CL43" i="2" s="1"/>
  <c r="CK20" i="2"/>
  <c r="CJ20" i="2"/>
  <c r="CI20" i="2"/>
  <c r="CH20" i="2"/>
  <c r="CG20" i="2"/>
  <c r="CG43" i="2" s="1"/>
  <c r="CF20" i="2"/>
  <c r="CE20" i="2"/>
  <c r="CD20" i="2"/>
  <c r="CC20" i="2"/>
  <c r="CC43" i="2" s="1"/>
  <c r="CB20" i="2"/>
  <c r="CB43" i="2" s="1"/>
  <c r="CA20" i="2"/>
  <c r="CA43" i="2" s="1"/>
  <c r="BZ20" i="2"/>
  <c r="BY20" i="2"/>
  <c r="BX20" i="2"/>
  <c r="BW20" i="2"/>
  <c r="BW43" i="2" s="1"/>
  <c r="BW44" i="2" s="1"/>
  <c r="H4" i="1" s="1"/>
  <c r="BV20" i="2"/>
  <c r="BV43" i="2" s="1"/>
  <c r="BU20" i="2"/>
  <c r="BT20" i="2"/>
  <c r="BS20" i="2"/>
  <c r="BR20" i="2"/>
  <c r="BQ20" i="2"/>
  <c r="BQ43" i="2" s="1"/>
  <c r="BP20" i="2"/>
  <c r="BO20" i="2"/>
  <c r="BN20" i="2"/>
  <c r="BM20" i="2"/>
  <c r="BM43" i="2" s="1"/>
  <c r="BL20" i="2"/>
  <c r="BL43" i="2" s="1"/>
  <c r="BK20" i="2"/>
  <c r="BK43" i="2" s="1"/>
  <c r="BJ20" i="2"/>
  <c r="BI20" i="2"/>
  <c r="BH20" i="2"/>
  <c r="BG20" i="2"/>
  <c r="BG43" i="2" s="1"/>
  <c r="BF20" i="2"/>
  <c r="BF43" i="2" s="1"/>
  <c r="BE20" i="2"/>
  <c r="BD20" i="2"/>
  <c r="BC20" i="2"/>
  <c r="BB20" i="2"/>
  <c r="BA20" i="2"/>
  <c r="BA43" i="2" s="1"/>
  <c r="AZ20" i="2"/>
  <c r="AY20" i="2"/>
  <c r="AX20" i="2"/>
  <c r="AW20" i="2"/>
  <c r="AW43" i="2" s="1"/>
  <c r="AV20" i="2"/>
  <c r="AV43" i="2" s="1"/>
  <c r="AU20" i="2"/>
  <c r="AU43" i="2" s="1"/>
  <c r="AT20" i="2"/>
  <c r="AS20" i="2"/>
  <c r="AR20" i="2"/>
  <c r="AQ20" i="2"/>
  <c r="AQ43" i="2" s="1"/>
  <c r="AP20" i="2"/>
  <c r="AP43" i="2" s="1"/>
  <c r="AO20" i="2"/>
  <c r="CU20" i="2" s="1"/>
  <c r="AN20" i="2"/>
  <c r="AL20" i="2"/>
  <c r="AK20" i="2"/>
  <c r="AK46" i="2" s="1"/>
  <c r="AJ20" i="2"/>
  <c r="AI20" i="2"/>
  <c r="AH20" i="2"/>
  <c r="G20" i="2"/>
  <c r="CP19" i="2"/>
  <c r="CO19" i="2"/>
  <c r="CO43" i="2" s="1"/>
  <c r="CN19" i="2"/>
  <c r="CN43" i="2" s="1"/>
  <c r="CM19" i="2"/>
  <c r="CL19" i="2"/>
  <c r="CK19" i="2"/>
  <c r="CK43" i="2" s="1"/>
  <c r="CJ19" i="2"/>
  <c r="CJ43" i="2" s="1"/>
  <c r="CI19" i="2"/>
  <c r="CI43" i="2" s="1"/>
  <c r="CH19" i="2"/>
  <c r="CG19" i="2"/>
  <c r="CF19" i="2"/>
  <c r="CE19" i="2"/>
  <c r="CD19" i="2"/>
  <c r="CD43" i="2" s="1"/>
  <c r="CC19" i="2"/>
  <c r="CB19" i="2"/>
  <c r="CA19" i="2"/>
  <c r="BZ19" i="2"/>
  <c r="BY19" i="2"/>
  <c r="BY43" i="2" s="1"/>
  <c r="BX19" i="2"/>
  <c r="BX43" i="2" s="1"/>
  <c r="BW19" i="2"/>
  <c r="BV19" i="2"/>
  <c r="BU19" i="2"/>
  <c r="BU43" i="2" s="1"/>
  <c r="BT19" i="2"/>
  <c r="BT43" i="2" s="1"/>
  <c r="BS19" i="2"/>
  <c r="BS43" i="2" s="1"/>
  <c r="BR19" i="2"/>
  <c r="BQ19" i="2"/>
  <c r="BP19" i="2"/>
  <c r="BO19" i="2"/>
  <c r="BN19" i="2"/>
  <c r="BN43" i="2" s="1"/>
  <c r="BM19" i="2"/>
  <c r="BL19" i="2"/>
  <c r="BK19" i="2"/>
  <c r="BJ19" i="2"/>
  <c r="BI19" i="2"/>
  <c r="BI43" i="2" s="1"/>
  <c r="BH19" i="2"/>
  <c r="BH43" i="2" s="1"/>
  <c r="BG19" i="2"/>
  <c r="BF19" i="2"/>
  <c r="BE19" i="2"/>
  <c r="BE43" i="2" s="1"/>
  <c r="BD19" i="2"/>
  <c r="BD43" i="2" s="1"/>
  <c r="BC19" i="2"/>
  <c r="BC43" i="2" s="1"/>
  <c r="BB19" i="2"/>
  <c r="BA19" i="2"/>
  <c r="AZ19" i="2"/>
  <c r="AY19" i="2"/>
  <c r="AX19" i="2"/>
  <c r="AX43" i="2" s="1"/>
  <c r="AW19" i="2"/>
  <c r="AV19" i="2"/>
  <c r="AU19" i="2"/>
  <c r="AT19" i="2"/>
  <c r="AS19" i="2"/>
  <c r="AS43" i="2" s="1"/>
  <c r="AR19" i="2"/>
  <c r="AR43" i="2" s="1"/>
  <c r="AQ19" i="2"/>
  <c r="AP19" i="2"/>
  <c r="AO19" i="2"/>
  <c r="AO43" i="2" s="1"/>
  <c r="AN19" i="2"/>
  <c r="AN43" i="2" s="1"/>
  <c r="AN51" i="2" s="1"/>
  <c r="AL19" i="2"/>
  <c r="AL43" i="2" s="1"/>
  <c r="AK19" i="2"/>
  <c r="AJ19" i="2"/>
  <c r="AI19" i="2"/>
  <c r="AH19" i="2"/>
  <c r="AH46" i="2" s="1"/>
  <c r="G19" i="2"/>
  <c r="CU18" i="2"/>
  <c r="G18" i="2"/>
  <c r="CU17" i="2"/>
  <c r="AM17" i="2"/>
  <c r="AM16" i="2"/>
  <c r="CU16" i="2" s="1"/>
  <c r="CU15" i="2"/>
  <c r="CU14" i="2"/>
  <c r="G14" i="2"/>
  <c r="CU13" i="2"/>
  <c r="G13" i="2"/>
  <c r="CU12" i="2"/>
  <c r="G12" i="2"/>
  <c r="CU11" i="2"/>
  <c r="CU10" i="2"/>
  <c r="CU9" i="2"/>
  <c r="CU8" i="2"/>
  <c r="CU7" i="2"/>
  <c r="CU6" i="2"/>
  <c r="AM6" i="2"/>
  <c r="AM51" i="2" s="1"/>
  <c r="CU5" i="2"/>
  <c r="CU4" i="2"/>
  <c r="D7" i="1"/>
  <c r="K48" i="2" l="1"/>
  <c r="B5" i="1"/>
  <c r="BW48" i="2"/>
  <c r="Z47" i="2"/>
  <c r="CI44" i="2"/>
  <c r="BK44" i="2"/>
  <c r="G4" i="1" s="1"/>
  <c r="BK48" i="2"/>
  <c r="N48" i="2"/>
  <c r="C5" i="1"/>
  <c r="C6" i="1" s="1"/>
  <c r="G16" i="1"/>
  <c r="H5" i="1"/>
  <c r="AL51" i="2"/>
  <c r="AL44" i="2"/>
  <c r="E4" i="1" s="1"/>
  <c r="B23" i="3"/>
  <c r="AY44" i="2"/>
  <c r="F4" i="1" s="1"/>
  <c r="AY48" i="2"/>
  <c r="F5" i="1"/>
  <c r="B15" i="3"/>
  <c r="AL48" i="2"/>
  <c r="E5" i="1"/>
  <c r="B9" i="3"/>
  <c r="E7" i="1"/>
  <c r="F7" i="1" s="1"/>
  <c r="G7" i="1" s="1"/>
  <c r="H7" i="1" s="1"/>
  <c r="CI48" i="2"/>
  <c r="C21" i="3"/>
  <c r="B21" i="3" s="1"/>
  <c r="F22" i="3"/>
  <c r="F21" i="3" s="1"/>
  <c r="G22" i="3"/>
  <c r="G21" i="3" s="1"/>
  <c r="J22" i="3"/>
  <c r="J21" i="3" s="1"/>
  <c r="K22" i="3"/>
  <c r="K21" i="3" s="1"/>
  <c r="B17" i="3"/>
  <c r="L22" i="3"/>
  <c r="L21" i="3" s="1"/>
  <c r="CU19" i="2"/>
  <c r="Z48" i="2" l="1"/>
  <c r="D5" i="1"/>
  <c r="H6" i="1"/>
  <c r="H8" i="1" s="1"/>
  <c r="B22" i="3"/>
  <c r="C8" i="1"/>
  <c r="E6" i="1"/>
  <c r="E8" i="1" s="1"/>
  <c r="B6" i="1"/>
  <c r="B8" i="1" s="1"/>
  <c r="C9" i="1" s="1"/>
  <c r="G6" i="1"/>
  <c r="G8" i="1" s="1"/>
  <c r="F6" i="1"/>
  <c r="F8" i="1" s="1"/>
  <c r="D6" i="1" l="1"/>
  <c r="D8" i="1" s="1"/>
  <c r="D9" i="1" s="1"/>
  <c r="E9" i="1" s="1"/>
  <c r="F9" i="1" s="1"/>
  <c r="G9" i="1" s="1"/>
  <c r="H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tc={eafb65a9-b8fb-44ae-b4a0-bf1eeb4bc0df}</author>
    <author>tc={236eaced-38df-4db6-aabf-8e50b0a34693}</author>
  </authors>
  <commentList>
    <comment ref="I5" authorId="0" shapeId="0" xr:uid="{EAFB65A9-B8FB-44AE-B4A0-BF1EEB4BC0D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@sekim@whatap.io 신규 매출 2026년 1.2M, 2027년 1.5M 반영했습니다.</t>
      </text>
    </comment>
    <comment ref="F10" authorId="1" shapeId="0" xr:uid="{236EACED-38DF-4DB6-AABF-8E50B0A3469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@sekim@whatap.io Sales 1명은 2026년 채용으로 넣었습니다.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tc={a68c8737-6462-4a07-acb7-9172b7321cbe}</author>
    <author>tc={969ef7db-69e8-4a8e-a26c-9add684d62c1}</author>
    <author>tc={7c3d56b8-fd93-433a-89b0-934e163c6e73}</author>
  </authors>
  <commentList>
    <comment ref="E4" authorId="0" shapeId="0" xr:uid="{00000000-0006-0000-0100-000001000000}">
      <text>
        <r>
          <rPr>
            <sz val="10"/>
            <color rgb="FF000000"/>
            <rFont val="Arial"/>
            <scheme val="minor"/>
          </rPr>
          <t>23/10~24/3 $5,100</t>
        </r>
      </text>
    </comment>
    <comment ref="E22" authorId="0" shapeId="0" xr:uid="{00000000-0006-0000-0100-000002000000}">
      <text>
        <r>
          <rPr>
            <sz val="10"/>
            <color rgb="FF000000"/>
            <rFont val="Arial"/>
            <scheme val="minor"/>
          </rPr>
          <t>온프라미스
미국법인꺼(국내매출 인식 x)</t>
        </r>
      </text>
    </comment>
    <comment ref="G24" authorId="1" shapeId="0" xr:uid="{A68C8737-6462-4A07-ACB7-9172B7321C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we will make another colum specifying the TCV, but we should put the weighted contract value according to the stage now.</t>
      </text>
    </comment>
    <comment ref="G30" authorId="2" shapeId="0" xr:uid="{969EF7DB-69E8-4A8E-A26C-9ADD684D62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[Tasks]
이 주석에 고정 된 작업이 클라이언트에서 표시 되지 않습니다.
댓글:
    @clarissa@whatap.io please put the amount and contract information for 2025 deals to be closed. You may ask Andy for further information if needed.
Assigned to clarissa@whatap.io
답글:
    Marked as done
답글:
    noted
Re-opened</t>
      </text>
    </comment>
    <comment ref="H39" authorId="3" shapeId="0" xr:uid="{7C3D56B8-FD93-433A-89B0-934E163C6E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[Tasks]
이 주석에 고정 된 작업이 클라이언트에서 표시 되지 않습니다.
댓글:
    @clarissa@whatap.io TCV target for 2027 is 1.5M not 1.2M
Assigned to clarissa@whatap.io
답글:
    Marked as done
답글:
    noted
Re-opened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7" authorId="0" shapeId="0" xr:uid="{00000000-0006-0000-0200-000001000000}">
      <text>
        <r>
          <rPr>
            <sz val="10"/>
            <color rgb="FF000000"/>
            <rFont val="Arial"/>
            <scheme val="minor"/>
          </rPr>
          <t>24/12/31 환율 1,470</t>
        </r>
      </text>
    </comment>
  </commentList>
</comments>
</file>

<file path=xl/sharedStrings.xml><?xml version="1.0" encoding="utf-8"?>
<sst xmlns="http://schemas.openxmlformats.org/spreadsheetml/2006/main" count="404" uniqueCount="266">
  <si>
    <t>[Global]</t>
  </si>
  <si>
    <t>1.2M TCV</t>
  </si>
  <si>
    <t>1.5M TCV</t>
  </si>
  <si>
    <t>2.25 TCV</t>
  </si>
  <si>
    <t>3.375 TCV</t>
  </si>
  <si>
    <t>구분</t>
  </si>
  <si>
    <t>2023년</t>
  </si>
  <si>
    <t>2024년</t>
  </si>
  <si>
    <t>2025년</t>
  </si>
  <si>
    <t>2026년</t>
  </si>
  <si>
    <t>2027년</t>
  </si>
  <si>
    <t>2028년</t>
  </si>
  <si>
    <t>2029년</t>
  </si>
  <si>
    <t>비고</t>
  </si>
  <si>
    <t>기존매출</t>
  </si>
  <si>
    <t>3년계약으로 반영</t>
  </si>
  <si>
    <t>신규매출</t>
  </si>
  <si>
    <t>연 150% 성장</t>
  </si>
  <si>
    <t>매출원가</t>
  </si>
  <si>
    <t>매출의 20%</t>
  </si>
  <si>
    <t>리전비용 확인 필요</t>
  </si>
  <si>
    <t>판관비</t>
  </si>
  <si>
    <t>29년도 비용 1.5억 추가인데 어디에 2명을 충원할지 확인 필요</t>
  </si>
  <si>
    <t>영업손익</t>
  </si>
  <si>
    <t>누적손익</t>
  </si>
  <si>
    <t>2023년부터~</t>
  </si>
  <si>
    <t>인원</t>
  </si>
  <si>
    <t>태국엔지니어 1명</t>
  </si>
  <si>
    <t>2명 충원??</t>
  </si>
  <si>
    <t>인니 주니어 엔지니어 1명</t>
  </si>
  <si>
    <t>세일즈 1명</t>
  </si>
  <si>
    <t>인니 Country Director 1명</t>
  </si>
  <si>
    <t>인니 영업지원 1명</t>
  </si>
  <si>
    <t xml:space="preserve">1월 </t>
  </si>
  <si>
    <t>12개월 연간 반영</t>
  </si>
  <si>
    <t>판관비(장부+현지 인건비)</t>
  </si>
  <si>
    <t>직 원 급 여</t>
  </si>
  <si>
    <t>- 글로벌팀(국내)</t>
  </si>
  <si>
    <t>- 글로벌팀(인니,태국_현지)</t>
  </si>
  <si>
    <t>상 여 금</t>
  </si>
  <si>
    <t>잡 급</t>
  </si>
  <si>
    <t>퇴 직 급 여</t>
  </si>
  <si>
    <t>복 리 후 생 비</t>
  </si>
  <si>
    <t>복 리 _ 복 지 카 드</t>
  </si>
  <si>
    <t>복 리 _ 회 식 대</t>
  </si>
  <si>
    <t>복 리 _ 간 식 대</t>
  </si>
  <si>
    <t>복 리 _ 경 조 사 비</t>
  </si>
  <si>
    <t>복 리 _ 기 타</t>
  </si>
  <si>
    <t>여 비 교 통 비</t>
  </si>
  <si>
    <t>여 비 _ 해 외 출 장 비</t>
  </si>
  <si>
    <t>접 대 비(기업업무추진비)</t>
  </si>
  <si>
    <t>통 신 비</t>
  </si>
  <si>
    <t>세 금 과 공 과 금</t>
  </si>
  <si>
    <t>감 가 상 각 비</t>
  </si>
  <si>
    <t>지 급 임 차 료(앤디숙소)</t>
  </si>
  <si>
    <t>보 험 료</t>
  </si>
  <si>
    <t>차 량 유 지 비</t>
  </si>
  <si>
    <t>운 반 비</t>
  </si>
  <si>
    <t>교 육 훈 련 비</t>
  </si>
  <si>
    <t>도 서 인 쇄 비</t>
  </si>
  <si>
    <t>소 모 품 비</t>
  </si>
  <si>
    <t>지 급 수 수 료</t>
  </si>
  <si>
    <t>지 급 수 수 료_AI</t>
  </si>
  <si>
    <t>광 고 선 전 비</t>
  </si>
  <si>
    <t>외 주 비</t>
  </si>
  <si>
    <t>무 형 고 정 자 산 상 각</t>
  </si>
  <si>
    <t>사 무 실 임 차 료</t>
  </si>
  <si>
    <t>비용 합계(판관비+원가)</t>
  </si>
  <si>
    <t>글로벌팀 매출액 (계약 금액, 국내 매출 기준)</t>
  </si>
  <si>
    <t>환율</t>
  </si>
  <si>
    <t>계약 년도</t>
  </si>
  <si>
    <t>관계사</t>
  </si>
  <si>
    <t>판매형태</t>
  </si>
  <si>
    <t>고객사 딜</t>
  </si>
  <si>
    <t>계약 기간</t>
  </si>
  <si>
    <t>개월수</t>
  </si>
  <si>
    <t>ARR</t>
  </si>
  <si>
    <t>총액</t>
  </si>
  <si>
    <t>고객사 - 제품</t>
  </si>
  <si>
    <t>1월 원화</t>
  </si>
  <si>
    <t>Triputra</t>
  </si>
  <si>
    <t>[PT. Sisnet Mitra Sejahtera][Sisnet MSP]</t>
  </si>
  <si>
    <t>23.09.26 ~ 26.09.26</t>
  </si>
  <si>
    <t>Sisnet - MSP</t>
  </si>
  <si>
    <t>[FIF][FIF K8S LOG APM 23.12.31-24.12.31]</t>
  </si>
  <si>
    <t>23.12.31 ~ 24.12.31</t>
  </si>
  <si>
    <t>FIF - K8s/Log/APM</t>
  </si>
  <si>
    <t>[FIF][FIF DPM LOG APM 24.04.15-26.04.14]</t>
  </si>
  <si>
    <t>24.04.15~26.04.15</t>
  </si>
  <si>
    <t>FIF - DPM/Log/APM</t>
  </si>
  <si>
    <t>[Adira][OnPrem Server/APM/DB_24.06-27.06]</t>
  </si>
  <si>
    <t>24.06.17~27.06.17</t>
  </si>
  <si>
    <t>Adira - Server/APM/DB</t>
  </si>
  <si>
    <t>NextTi</t>
  </si>
  <si>
    <t>영구</t>
  </si>
  <si>
    <t>[Hana Indonesia][Hana K8S 24.04.26]</t>
  </si>
  <si>
    <t>24.05.10</t>
  </si>
  <si>
    <t>Hana - K8S</t>
  </si>
  <si>
    <t>(영구 라이선스)</t>
  </si>
  <si>
    <t>[Smartfren][Smartfren APM SERVER 24.05.30~27.05.30]</t>
  </si>
  <si>
    <t>24.05~27.05</t>
  </si>
  <si>
    <t>Smartfren - APM/Server</t>
  </si>
  <si>
    <t>[JTrust][On Prem_SERVER, APM, DB 24.07.31-29.07.31]</t>
  </si>
  <si>
    <t>24.07~29.08</t>
  </si>
  <si>
    <t>Jtrust - Server/APM/DB</t>
  </si>
  <si>
    <t>[FIF][SaaS Apm/Server/Db/Npm/Log 24.10.01-26.10.01]</t>
  </si>
  <si>
    <t>24.10~26.09</t>
  </si>
  <si>
    <t>FIF - APM/Server/DB/NPM/Log</t>
  </si>
  <si>
    <t>[Pertalife] [SaaS APM/Server/DB]</t>
  </si>
  <si>
    <t>25.06~28.05</t>
  </si>
  <si>
    <t>Pertalife - APM/Server/DB</t>
  </si>
  <si>
    <t xml:space="preserve">[Bank Sulutgo][On Premise_ Server/App,Kubernetes, DB] </t>
  </si>
  <si>
    <t xml:space="preserve">Bank Sulutgo - Server/App,Kubernetes, DB </t>
  </si>
  <si>
    <t>[JTrust][BJI_APM,Server,DB_Onpremise_5yr]</t>
  </si>
  <si>
    <t>25.06~30.05</t>
  </si>
  <si>
    <t>JTrust - APM/Server/DB</t>
  </si>
  <si>
    <t>[Mirae Asset][Mirae Asset_SaaS_Server,DB_3yr]</t>
  </si>
  <si>
    <t>25.05~28.05</t>
  </si>
  <si>
    <t>Mirae Asset - DB/Server</t>
  </si>
  <si>
    <t>[BCAF][BCAF_Onprem_APM,Server,DB]</t>
  </si>
  <si>
    <t>25.07~28.07</t>
  </si>
  <si>
    <t>BCAF - APM/Server/DB</t>
  </si>
  <si>
    <t>[Simas Jiwa][SimasJiwa_Arete_Server,DB]</t>
  </si>
  <si>
    <t>25.08~28.08</t>
  </si>
  <si>
    <t>SimasJiwa_Arete - Server/DB</t>
  </si>
  <si>
    <t>Next TI</t>
  </si>
  <si>
    <t>[JTrust][BJI_APM_Additional_Onpremise_5yr]</t>
  </si>
  <si>
    <t>25.09~30.09</t>
  </si>
  <si>
    <t>Bank JTrust Indonesia - APM</t>
  </si>
  <si>
    <t>[Panin Bank][Panin Bank_Skyworx_APM]</t>
  </si>
  <si>
    <t>Panin Bank_Skyworx_APM</t>
  </si>
  <si>
    <t>[Cimb Niaga][Cimb Niaga Indonesia_Skyworx_APM]</t>
  </si>
  <si>
    <t>Cimb Niaga Indonesia_Skyworx_APM</t>
  </si>
  <si>
    <t>[KlikIndomaret][Klikindomaret_BestChoice_K8s]</t>
  </si>
  <si>
    <t>25.11~27.11</t>
  </si>
  <si>
    <t>Klikindomaret_BestChoice_K8s</t>
  </si>
  <si>
    <t>ABDistributing</t>
  </si>
  <si>
    <t>[HyundaiTransys][Hyundai Transys_ABdistributing_DBM]</t>
  </si>
  <si>
    <t>25.11~26.11</t>
  </si>
  <si>
    <t>Hyundai Transys_ABdistributing_DBM</t>
  </si>
  <si>
    <t>[FIF][Phase 1 Renewal_On Prem_K8S, Log]</t>
  </si>
  <si>
    <t>25.12.19~27.12.19</t>
  </si>
  <si>
    <t>FIF Renewal</t>
  </si>
  <si>
    <t>[Indofood][On Prem_APM_Server_DB]</t>
  </si>
  <si>
    <t>25.12.19~28.12.19</t>
  </si>
  <si>
    <t>Indofood</t>
  </si>
  <si>
    <t>[Katadata][SaaS_APM, K8s]</t>
  </si>
  <si>
    <t>25.12.23~28.12.23</t>
  </si>
  <si>
    <t>Katadata</t>
  </si>
  <si>
    <t>Smartfren Renewal</t>
  </si>
  <si>
    <t>26.01~28.01</t>
  </si>
  <si>
    <t>Adira Phase 2</t>
  </si>
  <si>
    <t>26.02.03~29.02</t>
  </si>
  <si>
    <t>Indopaket</t>
  </si>
  <si>
    <t>26.02.16~28.02.16</t>
  </si>
  <si>
    <t>Sinarmas Hana Finance</t>
  </si>
  <si>
    <t>26.02.19~27.02.19</t>
  </si>
  <si>
    <t>[Tempo Scan][On Prem_APM]</t>
  </si>
  <si>
    <t>25.12.17~</t>
  </si>
  <si>
    <t>Tempo Scan</t>
  </si>
  <si>
    <t>[XLSmart][On Prem_Phase 2 (Over usage)]</t>
  </si>
  <si>
    <t>25.12.17~ 26.12.17</t>
  </si>
  <si>
    <t>Smartfren Phase 2</t>
  </si>
  <si>
    <t>Deal Q1</t>
  </si>
  <si>
    <t>26.03~29.02</t>
  </si>
  <si>
    <t>Deal Q2</t>
  </si>
  <si>
    <t>26.06~29.05</t>
  </si>
  <si>
    <t>Deal Q3</t>
  </si>
  <si>
    <t>26.08~29.07</t>
  </si>
  <si>
    <t>Deal Q4</t>
  </si>
  <si>
    <t>26.11~29.10</t>
  </si>
  <si>
    <t>27.02~30.01</t>
  </si>
  <si>
    <t>27.05~30.04</t>
  </si>
  <si>
    <t>27.09~30.08</t>
  </si>
  <si>
    <t>27.12~30.11</t>
  </si>
  <si>
    <t>28.02~31.01</t>
  </si>
  <si>
    <t>28.05~31.04</t>
  </si>
  <si>
    <t>월</t>
  </si>
  <si>
    <t>28.09~31.08</t>
  </si>
  <si>
    <t>기존 License ($)</t>
  </si>
  <si>
    <t>27.12~30.12</t>
  </si>
  <si>
    <t>기존 MRR ($)</t>
  </si>
  <si>
    <t>기존 ARR ($)</t>
  </si>
  <si>
    <t>28년</t>
  </si>
  <si>
    <t>신규 License($)</t>
  </si>
  <si>
    <t>신규 MRR($)</t>
  </si>
  <si>
    <t xml:space="preserve"> 신규 ARR ($)</t>
  </si>
  <si>
    <t>총 ARR($)</t>
  </si>
  <si>
    <t>계약 시점 기준 TCV SUM</t>
  </si>
  <si>
    <t>(IDR)Institut(IPDN) $780 @1,394.70 24/11~26/10</t>
  </si>
  <si>
    <t>(인니) FIF 25/1/24~26/12/31_$4,672 @1,432.70</t>
  </si>
  <si>
    <t xml:space="preserve">한국법인 </t>
  </si>
  <si>
    <t>과목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</si>
  <si>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</si>
  <si>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</si>
  <si>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</si>
  <si>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</si>
  <si>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</si>
  <si>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</si>
  <si>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</si>
  <si>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</si>
  <si>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</si>
  <si>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</si>
  <si>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</si>
  <si>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</si>
  <si>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</si>
  <si>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Ⅰ . 매 출 액 2025년</t>
  </si>
  <si>
    <t>[4070000] 해외구독(기존)</t>
  </si>
  <si>
    <t>[4070000] 해외구독(신규)</t>
  </si>
  <si>
    <t>미국법인</t>
  </si>
  <si>
    <t>[4090000] 해외영구라이선스</t>
  </si>
  <si>
    <t>인식x</t>
  </si>
  <si>
    <t>취합</t>
  </si>
  <si>
    <t>[4070000] 해외구독</t>
  </si>
  <si>
    <t>분기</t>
  </si>
  <si>
    <t>파트너사</t>
  </si>
  <si>
    <t>End User</t>
  </si>
  <si>
    <t>매출유형</t>
  </si>
  <si>
    <t>2030년 반영</t>
  </si>
  <si>
    <t>2029년 반영</t>
  </si>
  <si>
    <t>2028년 반영</t>
  </si>
  <si>
    <t>2027년 반영</t>
  </si>
  <si>
    <t>2026년 반영</t>
  </si>
  <si>
    <t>2025년 반영</t>
  </si>
  <si>
    <t>2024년 반영</t>
  </si>
  <si>
    <t>계약금액</t>
  </si>
  <si>
    <t>계약일</t>
  </si>
  <si>
    <t>계약기간</t>
  </si>
  <si>
    <t>24년 3분기</t>
  </si>
  <si>
    <t>Jtrust</t>
  </si>
  <si>
    <t>Private SaaS</t>
  </si>
  <si>
    <t>24/7/31~29/08/31</t>
  </si>
  <si>
    <t>5년 계약,1년단위PO, On-Premise</t>
  </si>
  <si>
    <t>25년 2분기</t>
  </si>
  <si>
    <t>Mirae Asset</t>
  </si>
  <si>
    <t>Public SaaS</t>
  </si>
  <si>
    <t>3년계약</t>
  </si>
  <si>
    <t>Bank Sulutgo</t>
  </si>
  <si>
    <t>On-Premise</t>
  </si>
  <si>
    <t>3년 계약,On-Premise</t>
  </si>
  <si>
    <t>Bank JTrust</t>
  </si>
  <si>
    <t>5년 계약,On-Premise</t>
  </si>
  <si>
    <t>Bank JTrust Indonesia</t>
  </si>
  <si>
    <t>25/9~30/9</t>
  </si>
  <si>
    <t>Channel</t>
  </si>
  <si>
    <t>2026 Q1</t>
  </si>
  <si>
    <t xml:space="preserve">2026 Q2 </t>
  </si>
  <si>
    <t>2026 Q3</t>
  </si>
  <si>
    <t>2026 Q4</t>
  </si>
  <si>
    <t>2026 TTL</t>
  </si>
  <si>
    <t>2027 Q1</t>
  </si>
  <si>
    <t>2027 Q2</t>
  </si>
  <si>
    <t>2027 Q3</t>
  </si>
  <si>
    <t xml:space="preserve">2027 Q4 </t>
  </si>
  <si>
    <t>2027 TTL</t>
  </si>
  <si>
    <t>%</t>
  </si>
  <si>
    <t>Amount</t>
  </si>
  <si>
    <t>Non-FSI (OP) 20%</t>
  </si>
  <si>
    <t>Non-FSI (SaaS) 20%</t>
  </si>
  <si>
    <t>FSI 40%</t>
  </si>
  <si>
    <t>Gov 20%</t>
  </si>
  <si>
    <t>Grand TTL (ID)</t>
  </si>
  <si>
    <t>FSI 50%</t>
  </si>
  <si>
    <t>Gov 50%</t>
  </si>
  <si>
    <t>Grand TTL (MY)</t>
  </si>
  <si>
    <t>Grand TTL (TH)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</si>
</sst>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[$$]#,##0"/>
    <numFmt numFmtId="178" formatCode="[$₩]#,##0.00"/>
    <numFmt numFmtId="179" formatCode="&quot;$&quot;#,##0"/>
    <numFmt numFmtId="180" formatCode="[$₩]#,##0"/>
    <numFmt numFmtId="181" formatCode="yyyy\-mm\-dd"/>
  </numFmts>
  <fonts count="39">
    <font>
      <sz val="10"/>
      <color rgb="FF000000"/>
      <name val="Arial"/>
      <scheme val="minor"/>
    </font>
    <font>
      <sz val="9"/>
      <color rgb="FFFF0000"/>
      <name val="함초롬돋움"/>
      <family val="3"/>
      <charset val="129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9"/>
      <color rgb="FF000000"/>
      <name val="함초롬돋움"/>
      <family val="3"/>
      <charset val="129"/>
    </font>
    <font>
      <b/>
      <sz val="10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9"/>
      <color rgb="FF000000"/>
      <name val="함초롬돋움"/>
      <family val="3"/>
      <charset val="129"/>
    </font>
    <font>
      <sz val="9"/>
      <color rgb="FF0070C0"/>
      <name val="함초롬돋움"/>
      <family val="3"/>
      <charset val="129"/>
    </font>
    <font>
      <sz val="9"/>
      <color rgb="FF000000"/>
      <name val="&quot;Malgun Gothic&quot;"/>
    </font>
    <font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9"/>
      <color rgb="FF000000"/>
      <name val="Calibri"/>
      <family val="2"/>
    </font>
    <font>
      <b/>
      <sz val="10"/>
      <color rgb="FF0066CC"/>
      <name val="함초롬돋움"/>
      <family val="3"/>
      <charset val="129"/>
    </font>
    <font>
      <sz val="10"/>
      <color rgb="FF000000"/>
      <name val="함초롬돋움"/>
      <family val="3"/>
      <charset val="129"/>
    </font>
    <font>
      <b/>
      <sz val="10"/>
      <color rgb="FF000000"/>
      <name val="함초롬돋움"/>
      <family val="3"/>
      <charset val="129"/>
    </font>
    <font>
      <b/>
      <sz val="9"/>
      <color rgb="FF980000"/>
      <name val="Arial"/>
      <family val="2"/>
      <scheme val="minor"/>
    </font>
    <font>
      <sz val="9"/>
      <color rgb="FF000000"/>
      <name val="&quot;Helvetica Neue&quot;"/>
    </font>
    <font>
      <b/>
      <sz val="9"/>
      <color rgb="FF000000"/>
      <name val="&quot;Helvetica Neue&quot;"/>
    </font>
    <font>
      <b/>
      <sz val="9"/>
      <color theme="1"/>
      <name val="Arial"/>
      <family val="2"/>
      <scheme val="minor"/>
    </font>
    <font>
      <sz val="9"/>
      <color rgb="FF1A1A1A"/>
      <name val="Verdana"/>
      <family val="2"/>
    </font>
    <font>
      <sz val="9"/>
      <color rgb="FF0000FF"/>
      <name val="&quot;Helvetica Neue&quot;"/>
    </font>
    <font>
      <sz val="9"/>
      <color rgb="FF0000FF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0000"/>
      <name val="&quot;Helvetica Neue&quot;"/>
    </font>
    <font>
      <sz val="9"/>
      <color rgb="FFFF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10"/>
      <color rgb="FFFF0000"/>
      <name val="Arial"/>
      <family val="2"/>
      <scheme val="minor"/>
    </font>
    <font>
      <sz val="11"/>
      <color rgb="FF000000"/>
      <name val="함초롬돋움"/>
      <family val="3"/>
      <charset val="129"/>
    </font>
    <font>
      <b/>
      <sz val="11"/>
      <color rgb="FF002060"/>
      <name val="함초롬돋움"/>
      <family val="3"/>
      <charset val="129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1155CC"/>
      <name val="Arial"/>
      <family val="2"/>
      <scheme val="minor"/>
    </font>
    <font>
      <sz val="10"/>
      <color rgb="FFCC0000"/>
      <name val="Arial"/>
      <family val="2"/>
      <scheme val="minor"/>
    </font>
    <font>
      <sz val="8"/>
      <name val="Arial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FEFDFD"/>
        <bgColor rgb="FFFEFDFD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69696"/>
        <bgColor rgb="FF969696"/>
      </patternFill>
    </fill>
    <fill>
      <patternFill patternType="solid">
        <fgColor rgb="FFFFF6DD"/>
        <bgColor rgb="FFFFF6DD"/>
      </patternFill>
    </fill>
    <fill>
      <patternFill patternType="solid">
        <fgColor rgb="FFAEAAAA"/>
        <bgColor rgb="FFAEAAAA"/>
      </patternFill>
    </fill>
    <fill>
      <patternFill patternType="solid">
        <fgColor rgb="FFEDEDED"/>
        <bgColor rgb="FFEDEDED"/>
      </patternFill>
    </fill>
  </fills>
  <borders count="5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B7B7B7"/>
      </left>
      <right style="dotted">
        <color rgb="FFB7B7B7"/>
      </right>
      <top/>
      <bottom style="thin">
        <color rgb="FFB7B7B7"/>
      </bottom>
      <diagonal/>
    </border>
    <border>
      <left style="dotted">
        <color rgb="FFB7B7B7"/>
      </left>
      <right style="thin">
        <color rgb="FF000000"/>
      </right>
      <top/>
      <bottom style="thin">
        <color rgb="FFB7B7B7"/>
      </bottom>
      <diagonal/>
    </border>
    <border>
      <left/>
      <right style="dotted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dotted">
        <color rgb="FFB7B7B7"/>
      </left>
      <right style="dotted">
        <color rgb="FFB7B7B7"/>
      </right>
      <top style="thin">
        <color rgb="FFB7B7B7"/>
      </top>
      <bottom style="thin">
        <color rgb="FFB7B7B7"/>
      </bottom>
      <diagonal/>
    </border>
    <border>
      <left style="dotted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 style="dotted">
        <color rgb="FFB7B7B7"/>
      </right>
      <top style="thin">
        <color rgb="FFB7B7B7"/>
      </top>
      <bottom style="thin">
        <color rgb="FFB7B7B7"/>
      </bottom>
      <diagonal/>
    </border>
    <border>
      <left style="dotted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 style="dotted">
        <color rgb="FFB7B7B7"/>
      </right>
      <top/>
      <bottom/>
      <diagonal/>
    </border>
    <border>
      <left style="dotted">
        <color rgb="FFB7B7B7"/>
      </left>
      <right style="dotted">
        <color rgb="FFB7B7B7"/>
      </right>
      <top/>
      <bottom/>
      <diagonal/>
    </border>
    <border>
      <left style="dotted">
        <color rgb="FFB7B7B7"/>
      </left>
      <right style="dotted">
        <color rgb="FFB7B7B7"/>
      </right>
      <top style="thin">
        <color rgb="FFB7B7B7"/>
      </top>
      <bottom/>
      <diagonal/>
    </border>
    <border>
      <left style="dotted">
        <color rgb="FFB7B7B7"/>
      </left>
      <right style="thin">
        <color rgb="FF000000"/>
      </right>
      <top style="thin">
        <color rgb="FFB7B7B7"/>
      </top>
      <bottom/>
      <diagonal/>
    </border>
    <border>
      <left/>
      <right style="dotted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dotted">
        <color rgb="FFB7B7B7"/>
      </left>
      <right/>
      <top style="thin">
        <color rgb="FFB7B7B7"/>
      </top>
      <bottom/>
      <diagonal/>
    </border>
    <border>
      <left style="thin">
        <color rgb="FF000000"/>
      </left>
      <right/>
      <top style="thin">
        <color rgb="FFB7B7B7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tted">
        <color rgb="FF999999"/>
      </right>
      <top style="thin">
        <color rgb="FF000000"/>
      </top>
      <bottom/>
      <diagonal/>
    </border>
    <border>
      <left/>
      <right style="dotted">
        <color rgb="FF999999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000000"/>
      </right>
      <top style="thin">
        <color rgb="FF999999"/>
      </top>
      <bottom/>
      <diagonal/>
    </border>
    <border>
      <left style="thin">
        <color rgb="FF000000"/>
      </left>
      <right/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 style="thin">
        <color rgb="FF000000"/>
      </right>
      <top style="thin">
        <color rgb="FF999999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right" vertical="center"/>
    </xf>
    <xf numFmtId="176" fontId="7" fillId="5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14" fillId="7" borderId="9" xfId="0" applyFont="1" applyFill="1" applyBorder="1" applyAlignment="1">
      <alignment horizontal="center"/>
    </xf>
    <xf numFmtId="3" fontId="14" fillId="7" borderId="9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left"/>
    </xf>
    <xf numFmtId="3" fontId="15" fillId="0" borderId="9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15" fillId="2" borderId="9" xfId="0" applyFont="1" applyFill="1" applyBorder="1" applyAlignment="1">
      <alignment horizontal="center"/>
    </xf>
    <xf numFmtId="3" fontId="15" fillId="2" borderId="9" xfId="0" applyNumberFormat="1" applyFont="1" applyFill="1" applyBorder="1" applyAlignment="1">
      <alignment horizontal="right" vertical="center"/>
    </xf>
    <xf numFmtId="0" fontId="16" fillId="8" borderId="9" xfId="0" applyFont="1" applyFill="1" applyBorder="1" applyAlignment="1">
      <alignment horizontal="center"/>
    </xf>
    <xf numFmtId="3" fontId="16" fillId="8" borderId="9" xfId="0" applyNumberFormat="1" applyFont="1" applyFill="1" applyBorder="1" applyAlignment="1">
      <alignment horizontal="center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177" fontId="12" fillId="0" borderId="9" xfId="0" applyNumberFormat="1" applyFont="1" applyBorder="1" applyAlignment="1">
      <alignment vertical="center"/>
    </xf>
    <xf numFmtId="178" fontId="12" fillId="0" borderId="9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4" fontId="12" fillId="0" borderId="0" xfId="0" applyNumberFormat="1" applyFont="1" applyAlignment="1">
      <alignment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vertical="center"/>
    </xf>
    <xf numFmtId="0" fontId="12" fillId="4" borderId="15" xfId="0" applyFont="1" applyFill="1" applyBorder="1" applyAlignment="1">
      <alignment vertical="center"/>
    </xf>
    <xf numFmtId="0" fontId="12" fillId="4" borderId="16" xfId="0" applyFont="1" applyFill="1" applyBorder="1" applyAlignment="1">
      <alignment vertical="center"/>
    </xf>
    <xf numFmtId="3" fontId="12" fillId="4" borderId="16" xfId="0" applyNumberFormat="1" applyFont="1" applyFill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177" fontId="12" fillId="9" borderId="17" xfId="0" applyNumberFormat="1" applyFont="1" applyFill="1" applyBorder="1" applyAlignment="1">
      <alignment horizontal="left" vertical="center"/>
    </xf>
    <xf numFmtId="177" fontId="12" fillId="9" borderId="18" xfId="0" applyNumberFormat="1" applyFont="1" applyFill="1" applyBorder="1" applyAlignment="1">
      <alignment horizontal="left" vertical="center"/>
    </xf>
    <xf numFmtId="0" fontId="12" fillId="0" borderId="19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77" fontId="12" fillId="9" borderId="22" xfId="0" applyNumberFormat="1" applyFont="1" applyFill="1" applyBorder="1" applyAlignment="1">
      <alignment horizontal="left" vertical="center"/>
    </xf>
    <xf numFmtId="177" fontId="12" fillId="9" borderId="20" xfId="0" applyNumberFormat="1" applyFont="1" applyFill="1" applyBorder="1" applyAlignment="1">
      <alignment horizontal="left" vertical="center"/>
    </xf>
    <xf numFmtId="0" fontId="19" fillId="0" borderId="9" xfId="0" applyFont="1" applyBorder="1" applyAlignment="1">
      <alignment vertical="center"/>
    </xf>
    <xf numFmtId="3" fontId="20" fillId="9" borderId="17" xfId="0" applyNumberFormat="1" applyFont="1" applyFill="1" applyBorder="1" applyAlignment="1">
      <alignment horizontal="right" vertical="center"/>
    </xf>
    <xf numFmtId="177" fontId="12" fillId="10" borderId="22" xfId="0" applyNumberFormat="1" applyFont="1" applyFill="1" applyBorder="1" applyAlignment="1">
      <alignment horizontal="left" vertical="center"/>
    </xf>
    <xf numFmtId="177" fontId="12" fillId="10" borderId="20" xfId="0" applyNumberFormat="1" applyFont="1" applyFill="1" applyBorder="1" applyAlignment="1">
      <alignment vertical="center"/>
    </xf>
    <xf numFmtId="177" fontId="12" fillId="10" borderId="20" xfId="0" applyNumberFormat="1" applyFont="1" applyFill="1" applyBorder="1" applyAlignment="1">
      <alignment horizontal="left" vertical="center"/>
    </xf>
    <xf numFmtId="177" fontId="12" fillId="10" borderId="17" xfId="0" applyNumberFormat="1" applyFont="1" applyFill="1" applyBorder="1" applyAlignment="1">
      <alignment horizontal="left" vertical="center"/>
    </xf>
    <xf numFmtId="177" fontId="12" fillId="11" borderId="22" xfId="0" applyNumberFormat="1" applyFont="1" applyFill="1" applyBorder="1" applyAlignment="1">
      <alignment horizontal="left" vertical="center"/>
    </xf>
    <xf numFmtId="177" fontId="12" fillId="11" borderId="20" xfId="0" applyNumberFormat="1" applyFont="1" applyFill="1" applyBorder="1" applyAlignment="1">
      <alignment vertical="center"/>
    </xf>
    <xf numFmtId="177" fontId="12" fillId="11" borderId="20" xfId="0" applyNumberFormat="1" applyFont="1" applyFill="1" applyBorder="1" applyAlignment="1">
      <alignment horizontal="left" vertical="center"/>
    </xf>
    <xf numFmtId="177" fontId="12" fillId="11" borderId="17" xfId="0" applyNumberFormat="1" applyFont="1" applyFill="1" applyBorder="1" applyAlignment="1">
      <alignment horizontal="left" vertical="center"/>
    </xf>
    <xf numFmtId="177" fontId="12" fillId="10" borderId="23" xfId="0" applyNumberFormat="1" applyFont="1" applyFill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right" vertical="center"/>
    </xf>
    <xf numFmtId="177" fontId="12" fillId="2" borderId="17" xfId="0" applyNumberFormat="1" applyFont="1" applyFill="1" applyBorder="1" applyAlignment="1">
      <alignment horizontal="left" vertical="center"/>
    </xf>
    <xf numFmtId="177" fontId="12" fillId="2" borderId="18" xfId="0" applyNumberFormat="1" applyFont="1" applyFill="1" applyBorder="1" applyAlignment="1">
      <alignment horizontal="left" vertical="center"/>
    </xf>
    <xf numFmtId="3" fontId="12" fillId="2" borderId="17" xfId="0" applyNumberFormat="1" applyFont="1" applyFill="1" applyBorder="1" applyAlignment="1">
      <alignment horizontal="right" vertical="center"/>
    </xf>
    <xf numFmtId="177" fontId="12" fillId="2" borderId="21" xfId="0" applyNumberFormat="1" applyFont="1" applyFill="1" applyBorder="1" applyAlignment="1">
      <alignment horizontal="left" vertical="center"/>
    </xf>
    <xf numFmtId="177" fontId="12" fillId="12" borderId="22" xfId="0" applyNumberFormat="1" applyFont="1" applyFill="1" applyBorder="1" applyAlignment="1">
      <alignment horizontal="left" vertical="center"/>
    </xf>
    <xf numFmtId="177" fontId="12" fillId="12" borderId="20" xfId="0" applyNumberFormat="1" applyFont="1" applyFill="1" applyBorder="1" applyAlignment="1">
      <alignment horizontal="left" vertical="center"/>
    </xf>
    <xf numFmtId="177" fontId="12" fillId="12" borderId="17" xfId="0" applyNumberFormat="1" applyFont="1" applyFill="1" applyBorder="1" applyAlignment="1">
      <alignment horizontal="left" vertical="center"/>
    </xf>
    <xf numFmtId="3" fontId="12" fillId="12" borderId="17" xfId="0" applyNumberFormat="1" applyFont="1" applyFill="1" applyBorder="1" applyAlignment="1">
      <alignment horizontal="right" vertical="center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177" fontId="23" fillId="0" borderId="9" xfId="0" applyNumberFormat="1" applyFont="1" applyBorder="1" applyAlignment="1">
      <alignment vertical="center"/>
    </xf>
    <xf numFmtId="3" fontId="12" fillId="9" borderId="17" xfId="0" applyNumberFormat="1" applyFont="1" applyFill="1" applyBorder="1" applyAlignment="1">
      <alignment horizontal="right" vertical="center"/>
    </xf>
    <xf numFmtId="0" fontId="18" fillId="13" borderId="9" xfId="0" applyFont="1" applyFill="1" applyBorder="1" applyAlignment="1">
      <alignment vertical="center"/>
    </xf>
    <xf numFmtId="0" fontId="19" fillId="13" borderId="9" xfId="0" applyFont="1" applyFill="1" applyBorder="1" applyAlignment="1">
      <alignment vertical="center"/>
    </xf>
    <xf numFmtId="0" fontId="18" fillId="14" borderId="9" xfId="0" applyFont="1" applyFill="1" applyBorder="1" applyAlignment="1">
      <alignment horizontal="center" vertical="center"/>
    </xf>
    <xf numFmtId="0" fontId="18" fillId="14" borderId="9" xfId="0" applyFont="1" applyFill="1" applyBorder="1" applyAlignment="1">
      <alignment vertical="center"/>
    </xf>
    <xf numFmtId="0" fontId="19" fillId="14" borderId="9" xfId="0" applyFont="1" applyFill="1" applyBorder="1" applyAlignment="1">
      <alignment vertical="center"/>
    </xf>
    <xf numFmtId="177" fontId="24" fillId="14" borderId="9" xfId="0" applyNumberFormat="1" applyFont="1" applyFill="1" applyBorder="1" applyAlignment="1">
      <alignment vertical="center"/>
    </xf>
    <xf numFmtId="0" fontId="12" fillId="13" borderId="26" xfId="0" applyFont="1" applyFill="1" applyBorder="1" applyAlignment="1">
      <alignment horizontal="left" vertical="center"/>
    </xf>
    <xf numFmtId="0" fontId="12" fillId="13" borderId="27" xfId="0" applyFont="1" applyFill="1" applyBorder="1" applyAlignment="1">
      <alignment horizontal="left" vertical="center"/>
    </xf>
    <xf numFmtId="0" fontId="12" fillId="13" borderId="28" xfId="0" applyFont="1" applyFill="1" applyBorder="1" applyAlignment="1">
      <alignment horizontal="left" vertical="center"/>
    </xf>
    <xf numFmtId="0" fontId="12" fillId="13" borderId="21" xfId="0" applyFont="1" applyFill="1" applyBorder="1" applyAlignment="1">
      <alignment horizontal="left" vertical="center"/>
    </xf>
    <xf numFmtId="0" fontId="12" fillId="13" borderId="19" xfId="0" applyFont="1" applyFill="1" applyBorder="1" applyAlignment="1">
      <alignment horizontal="left" vertical="center"/>
    </xf>
    <xf numFmtId="179" fontId="12" fillId="14" borderId="22" xfId="0" applyNumberFormat="1" applyFont="1" applyFill="1" applyBorder="1" applyAlignment="1">
      <alignment horizontal="left" vertical="center"/>
    </xf>
    <xf numFmtId="179" fontId="12" fillId="14" borderId="20" xfId="0" applyNumberFormat="1" applyFont="1" applyFill="1" applyBorder="1" applyAlignment="1">
      <alignment horizontal="left" vertical="center"/>
    </xf>
    <xf numFmtId="179" fontId="12" fillId="14" borderId="17" xfId="0" applyNumberFormat="1" applyFont="1" applyFill="1" applyBorder="1" applyAlignment="1">
      <alignment horizontal="left" vertical="center"/>
    </xf>
    <xf numFmtId="3" fontId="20" fillId="14" borderId="17" xfId="0" applyNumberFormat="1" applyFont="1" applyFill="1" applyBorder="1" applyAlignment="1">
      <alignment horizontal="right" vertical="center"/>
    </xf>
    <xf numFmtId="179" fontId="12" fillId="11" borderId="22" xfId="0" applyNumberFormat="1" applyFont="1" applyFill="1" applyBorder="1" applyAlignment="1">
      <alignment horizontal="left" vertical="center"/>
    </xf>
    <xf numFmtId="179" fontId="12" fillId="11" borderId="19" xfId="0" applyNumberFormat="1" applyFont="1" applyFill="1" applyBorder="1" applyAlignment="1">
      <alignment horizontal="left" vertical="center"/>
    </xf>
    <xf numFmtId="179" fontId="12" fillId="11" borderId="20" xfId="0" applyNumberFormat="1" applyFont="1" applyFill="1" applyBorder="1" applyAlignment="1">
      <alignment horizontal="left" vertical="center"/>
    </xf>
    <xf numFmtId="179" fontId="12" fillId="11" borderId="17" xfId="0" applyNumberFormat="1" applyFont="1" applyFill="1" applyBorder="1" applyAlignment="1">
      <alignment horizontal="left" vertical="center"/>
    </xf>
    <xf numFmtId="0" fontId="12" fillId="13" borderId="0" xfId="0" applyFont="1" applyFill="1" applyAlignment="1">
      <alignment vertical="center"/>
    </xf>
    <xf numFmtId="0" fontId="22" fillId="14" borderId="9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vertical="center"/>
    </xf>
    <xf numFmtId="177" fontId="23" fillId="14" borderId="9" xfId="0" applyNumberFormat="1" applyFont="1" applyFill="1" applyBorder="1" applyAlignment="1">
      <alignment vertical="center"/>
    </xf>
    <xf numFmtId="0" fontId="21" fillId="0" borderId="25" xfId="0" applyFont="1" applyBorder="1" applyAlignment="1">
      <alignment horizontal="left" vertical="center"/>
    </xf>
    <xf numFmtId="3" fontId="12" fillId="14" borderId="17" xfId="0" applyNumberFormat="1" applyFont="1" applyFill="1" applyBorder="1" applyAlignment="1">
      <alignment horizontal="right" vertical="center"/>
    </xf>
    <xf numFmtId="0" fontId="12" fillId="13" borderId="22" xfId="0" applyFont="1" applyFill="1" applyBorder="1" applyAlignment="1">
      <alignment horizontal="left" vertical="center"/>
    </xf>
    <xf numFmtId="0" fontId="12" fillId="13" borderId="20" xfId="0" applyFont="1" applyFill="1" applyBorder="1" applyAlignment="1">
      <alignment horizontal="left" vertical="center"/>
    </xf>
    <xf numFmtId="0" fontId="12" fillId="13" borderId="29" xfId="0" applyFont="1" applyFill="1" applyBorder="1" applyAlignment="1">
      <alignment horizontal="left" vertical="center"/>
    </xf>
    <xf numFmtId="179" fontId="12" fillId="11" borderId="21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28" xfId="0" applyFon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179" fontId="12" fillId="2" borderId="26" xfId="0" applyNumberFormat="1" applyFont="1" applyFill="1" applyBorder="1" applyAlignment="1">
      <alignment horizontal="left" vertical="center"/>
    </xf>
    <xf numFmtId="179" fontId="12" fillId="14" borderId="30" xfId="0" applyNumberFormat="1" applyFont="1" applyFill="1" applyBorder="1" applyAlignment="1">
      <alignment horizontal="left" vertical="center"/>
    </xf>
    <xf numFmtId="179" fontId="12" fillId="14" borderId="27" xfId="0" applyNumberFormat="1" applyFont="1" applyFill="1" applyBorder="1" applyAlignment="1">
      <alignment horizontal="left" vertical="center"/>
    </xf>
    <xf numFmtId="179" fontId="12" fillId="14" borderId="29" xfId="0" applyNumberFormat="1" applyFont="1" applyFill="1" applyBorder="1" applyAlignment="1">
      <alignment horizontal="left" vertical="center"/>
    </xf>
    <xf numFmtId="3" fontId="12" fillId="14" borderId="29" xfId="0" applyNumberFormat="1" applyFont="1" applyFill="1" applyBorder="1" applyAlignment="1">
      <alignment horizontal="right" vertical="center"/>
    </xf>
    <xf numFmtId="179" fontId="12" fillId="14" borderId="31" xfId="0" applyNumberFormat="1" applyFont="1" applyFill="1" applyBorder="1" applyAlignment="1">
      <alignment horizontal="left" vertical="center"/>
    </xf>
    <xf numFmtId="0" fontId="12" fillId="13" borderId="30" xfId="0" applyFont="1" applyFill="1" applyBorder="1" applyAlignment="1">
      <alignment horizontal="left" vertical="center"/>
    </xf>
    <xf numFmtId="0" fontId="12" fillId="2" borderId="30" xfId="0" applyFont="1" applyFill="1" applyBorder="1" applyAlignment="1">
      <alignment horizontal="left" vertical="center"/>
    </xf>
    <xf numFmtId="0" fontId="12" fillId="14" borderId="13" xfId="0" applyFont="1" applyFill="1" applyBorder="1" applyAlignment="1">
      <alignment horizontal="left" vertical="center"/>
    </xf>
    <xf numFmtId="179" fontId="12" fillId="13" borderId="22" xfId="0" applyNumberFormat="1" applyFont="1" applyFill="1" applyBorder="1" applyAlignment="1">
      <alignment horizontal="left" vertical="center"/>
    </xf>
    <xf numFmtId="3" fontId="20" fillId="14" borderId="29" xfId="0" applyNumberFormat="1" applyFont="1" applyFill="1" applyBorder="1" applyAlignment="1">
      <alignment horizontal="right" vertical="center"/>
    </xf>
    <xf numFmtId="0" fontId="18" fillId="14" borderId="13" xfId="0" applyFont="1" applyFill="1" applyBorder="1" applyAlignment="1">
      <alignment vertical="center"/>
    </xf>
    <xf numFmtId="179" fontId="12" fillId="11" borderId="30" xfId="0" applyNumberFormat="1" applyFont="1" applyFill="1" applyBorder="1" applyAlignment="1">
      <alignment horizontal="left" vertical="center"/>
    </xf>
    <xf numFmtId="179" fontId="12" fillId="11" borderId="27" xfId="0" applyNumberFormat="1" applyFont="1" applyFill="1" applyBorder="1" applyAlignment="1">
      <alignment horizontal="left" vertical="center"/>
    </xf>
    <xf numFmtId="179" fontId="12" fillId="11" borderId="29" xfId="0" applyNumberFormat="1" applyFont="1" applyFill="1" applyBorder="1" applyAlignment="1">
      <alignment horizontal="left" vertical="center"/>
    </xf>
    <xf numFmtId="179" fontId="12" fillId="11" borderId="31" xfId="0" applyNumberFormat="1" applyFont="1" applyFill="1" applyBorder="1" applyAlignment="1">
      <alignment horizontal="left" vertical="center"/>
    </xf>
    <xf numFmtId="0" fontId="12" fillId="13" borderId="17" xfId="0" applyFont="1" applyFill="1" applyBorder="1" applyAlignment="1">
      <alignment horizontal="left" vertical="center"/>
    </xf>
    <xf numFmtId="179" fontId="12" fillId="15" borderId="29" xfId="0" applyNumberFormat="1" applyFont="1" applyFill="1" applyBorder="1" applyAlignment="1">
      <alignment horizontal="left" vertical="center"/>
    </xf>
    <xf numFmtId="179" fontId="12" fillId="15" borderId="20" xfId="0" applyNumberFormat="1" applyFont="1" applyFill="1" applyBorder="1" applyAlignment="1">
      <alignment vertical="center"/>
    </xf>
    <xf numFmtId="179" fontId="12" fillId="15" borderId="21" xfId="0" applyNumberFormat="1" applyFont="1" applyFill="1" applyBorder="1" applyAlignment="1">
      <alignment vertical="center"/>
    </xf>
    <xf numFmtId="179" fontId="12" fillId="15" borderId="19" xfId="0" applyNumberFormat="1" applyFont="1" applyFill="1" applyBorder="1" applyAlignment="1">
      <alignment vertical="center"/>
    </xf>
    <xf numFmtId="179" fontId="12" fillId="16" borderId="29" xfId="0" applyNumberFormat="1" applyFont="1" applyFill="1" applyBorder="1" applyAlignment="1">
      <alignment horizontal="left" vertical="center"/>
    </xf>
    <xf numFmtId="179" fontId="12" fillId="16" borderId="20" xfId="0" applyNumberFormat="1" applyFont="1" applyFill="1" applyBorder="1" applyAlignment="1">
      <alignment vertical="center"/>
    </xf>
    <xf numFmtId="179" fontId="12" fillId="16" borderId="21" xfId="0" applyNumberFormat="1" applyFont="1" applyFill="1" applyBorder="1" applyAlignment="1">
      <alignment vertical="center"/>
    </xf>
    <xf numFmtId="179" fontId="12" fillId="16" borderId="19" xfId="0" applyNumberFormat="1" applyFont="1" applyFill="1" applyBorder="1" applyAlignment="1">
      <alignment vertical="center"/>
    </xf>
    <xf numFmtId="179" fontId="12" fillId="17" borderId="29" xfId="0" applyNumberFormat="1" applyFont="1" applyFill="1" applyBorder="1" applyAlignment="1">
      <alignment horizontal="left" vertical="center"/>
    </xf>
    <xf numFmtId="179" fontId="12" fillId="17" borderId="20" xfId="0" applyNumberFormat="1" applyFont="1" applyFill="1" applyBorder="1" applyAlignment="1">
      <alignment vertical="center"/>
    </xf>
    <xf numFmtId="179" fontId="12" fillId="17" borderId="21" xfId="0" applyNumberFormat="1" applyFont="1" applyFill="1" applyBorder="1" applyAlignment="1">
      <alignment vertical="center"/>
    </xf>
    <xf numFmtId="179" fontId="12" fillId="17" borderId="19" xfId="0" applyNumberFormat="1" applyFont="1" applyFill="1" applyBorder="1" applyAlignment="1">
      <alignment vertical="center"/>
    </xf>
    <xf numFmtId="179" fontId="12" fillId="18" borderId="31" xfId="0" applyNumberFormat="1" applyFont="1" applyFill="1" applyBorder="1" applyAlignment="1">
      <alignment horizontal="left" vertical="center"/>
    </xf>
    <xf numFmtId="3" fontId="20" fillId="18" borderId="29" xfId="0" applyNumberFormat="1" applyFont="1" applyFill="1" applyBorder="1" applyAlignment="1">
      <alignment horizontal="right" vertical="center"/>
    </xf>
    <xf numFmtId="179" fontId="12" fillId="18" borderId="30" xfId="0" applyNumberFormat="1" applyFont="1" applyFill="1" applyBorder="1" applyAlignment="1">
      <alignment horizontal="left" vertical="center"/>
    </xf>
    <xf numFmtId="179" fontId="12" fillId="15" borderId="21" xfId="0" applyNumberFormat="1" applyFont="1" applyFill="1" applyBorder="1" applyAlignment="1">
      <alignment horizontal="left" vertical="center"/>
    </xf>
    <xf numFmtId="179" fontId="12" fillId="15" borderId="19" xfId="0" applyNumberFormat="1" applyFont="1" applyFill="1" applyBorder="1" applyAlignment="1">
      <alignment horizontal="left" vertical="center"/>
    </xf>
    <xf numFmtId="179" fontId="12" fillId="15" borderId="22" xfId="0" applyNumberFormat="1" applyFont="1" applyFill="1" applyBorder="1" applyAlignment="1">
      <alignment horizontal="left" vertical="center"/>
    </xf>
    <xf numFmtId="179" fontId="12" fillId="15" borderId="20" xfId="0" applyNumberFormat="1" applyFont="1" applyFill="1" applyBorder="1" applyAlignment="1">
      <alignment horizontal="left" vertical="center"/>
    </xf>
    <xf numFmtId="179" fontId="12" fillId="15" borderId="17" xfId="0" applyNumberFormat="1" applyFont="1" applyFill="1" applyBorder="1" applyAlignment="1">
      <alignment horizontal="left" vertical="center"/>
    </xf>
    <xf numFmtId="0" fontId="18" fillId="19" borderId="9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vertical="center"/>
    </xf>
    <xf numFmtId="177" fontId="24" fillId="19" borderId="9" xfId="0" applyNumberFormat="1" applyFont="1" applyFill="1" applyBorder="1" applyAlignment="1">
      <alignment vertical="center"/>
    </xf>
    <xf numFmtId="0" fontId="3" fillId="0" borderId="32" xfId="0" applyFont="1" applyBorder="1"/>
    <xf numFmtId="0" fontId="25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vertical="center"/>
    </xf>
    <xf numFmtId="177" fontId="26" fillId="19" borderId="9" xfId="0" applyNumberFormat="1" applyFont="1" applyFill="1" applyBorder="1" applyAlignment="1">
      <alignment vertical="center"/>
    </xf>
    <xf numFmtId="3" fontId="12" fillId="18" borderId="29" xfId="0" applyNumberFormat="1" applyFont="1" applyFill="1" applyBorder="1" applyAlignment="1">
      <alignment horizontal="left" vertical="center"/>
    </xf>
    <xf numFmtId="179" fontId="12" fillId="19" borderId="22" xfId="0" applyNumberFormat="1" applyFont="1" applyFill="1" applyBorder="1" applyAlignment="1">
      <alignment horizontal="left" vertical="center"/>
    </xf>
    <xf numFmtId="179" fontId="12" fillId="19" borderId="20" xfId="0" applyNumberFormat="1" applyFont="1" applyFill="1" applyBorder="1" applyAlignment="1">
      <alignment horizontal="left" vertical="center"/>
    </xf>
    <xf numFmtId="179" fontId="12" fillId="19" borderId="17" xfId="0" applyNumberFormat="1" applyFont="1" applyFill="1" applyBorder="1" applyAlignment="1">
      <alignment horizontal="left" vertical="center"/>
    </xf>
    <xf numFmtId="179" fontId="12" fillId="19" borderId="18" xfId="0" applyNumberFormat="1" applyFont="1" applyFill="1" applyBorder="1" applyAlignment="1">
      <alignment horizontal="left" vertical="center"/>
    </xf>
    <xf numFmtId="0" fontId="25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vertical="center"/>
    </xf>
    <xf numFmtId="177" fontId="26" fillId="20" borderId="9" xfId="0" applyNumberFormat="1" applyFont="1" applyFill="1" applyBorder="1" applyAlignment="1">
      <alignment vertical="center"/>
    </xf>
    <xf numFmtId="0" fontId="18" fillId="21" borderId="9" xfId="0" applyFont="1" applyFill="1" applyBorder="1" applyAlignment="1">
      <alignment vertical="center"/>
    </xf>
    <xf numFmtId="179" fontId="12" fillId="21" borderId="17" xfId="0" applyNumberFormat="1" applyFont="1" applyFill="1" applyBorder="1" applyAlignment="1">
      <alignment horizontal="left" vertical="center"/>
    </xf>
    <xf numFmtId="179" fontId="12" fillId="21" borderId="18" xfId="0" applyNumberFormat="1" applyFont="1" applyFill="1" applyBorder="1" applyAlignment="1">
      <alignment horizontal="left" vertical="center"/>
    </xf>
    <xf numFmtId="179" fontId="12" fillId="21" borderId="20" xfId="0" applyNumberFormat="1" applyFont="1" applyFill="1" applyBorder="1" applyAlignment="1">
      <alignment horizontal="left" vertical="center"/>
    </xf>
    <xf numFmtId="0" fontId="25" fillId="18" borderId="9" xfId="0" applyFont="1" applyFill="1" applyBorder="1" applyAlignment="1">
      <alignment horizontal="center" vertical="center"/>
    </xf>
    <xf numFmtId="0" fontId="25" fillId="18" borderId="9" xfId="0" applyFont="1" applyFill="1" applyBorder="1" applyAlignment="1">
      <alignment vertical="center"/>
    </xf>
    <xf numFmtId="177" fontId="26" fillId="18" borderId="9" xfId="0" applyNumberFormat="1" applyFont="1" applyFill="1" applyBorder="1" applyAlignment="1">
      <alignment vertical="center"/>
    </xf>
    <xf numFmtId="4" fontId="12" fillId="2" borderId="0" xfId="0" applyNumberFormat="1" applyFont="1" applyFill="1" applyAlignment="1">
      <alignment vertical="center"/>
    </xf>
    <xf numFmtId="0" fontId="12" fillId="22" borderId="9" xfId="0" applyFont="1" applyFill="1" applyBorder="1" applyAlignment="1">
      <alignment horizontal="right" vertical="center"/>
    </xf>
    <xf numFmtId="177" fontId="12" fillId="2" borderId="33" xfId="0" applyNumberFormat="1" applyFont="1" applyFill="1" applyBorder="1" applyAlignment="1">
      <alignment horizontal="left" vertical="center"/>
    </xf>
    <xf numFmtId="177" fontId="12" fillId="2" borderId="34" xfId="0" applyNumberFormat="1" applyFont="1" applyFill="1" applyBorder="1" applyAlignment="1">
      <alignment horizontal="left" vertical="center"/>
    </xf>
    <xf numFmtId="177" fontId="12" fillId="2" borderId="35" xfId="0" applyNumberFormat="1" applyFont="1" applyFill="1" applyBorder="1" applyAlignment="1">
      <alignment horizontal="left" vertical="center"/>
    </xf>
    <xf numFmtId="3" fontId="12" fillId="2" borderId="35" xfId="0" applyNumberFormat="1" applyFont="1" applyFill="1" applyBorder="1" applyAlignment="1">
      <alignment horizontal="left" vertical="center"/>
    </xf>
    <xf numFmtId="177" fontId="12" fillId="0" borderId="0" xfId="0" applyNumberFormat="1" applyFont="1" applyAlignment="1">
      <alignment vertical="center"/>
    </xf>
    <xf numFmtId="0" fontId="12" fillId="4" borderId="9" xfId="0" applyFont="1" applyFill="1" applyBorder="1" applyAlignment="1">
      <alignment horizontal="right" vertical="center"/>
    </xf>
    <xf numFmtId="177" fontId="12" fillId="2" borderId="12" xfId="0" applyNumberFormat="1" applyFont="1" applyFill="1" applyBorder="1" applyAlignment="1">
      <alignment horizontal="left" vertical="center"/>
    </xf>
    <xf numFmtId="3" fontId="12" fillId="2" borderId="12" xfId="0" applyNumberFormat="1" applyFont="1" applyFill="1" applyBorder="1" applyAlignment="1">
      <alignment horizontal="left" vertical="center"/>
    </xf>
    <xf numFmtId="0" fontId="26" fillId="0" borderId="0" xfId="0" applyFont="1" applyAlignment="1">
      <alignment vertical="center"/>
    </xf>
    <xf numFmtId="177" fontId="26" fillId="0" borderId="0" xfId="0" applyNumberFormat="1" applyFont="1" applyAlignment="1">
      <alignment vertical="center"/>
    </xf>
    <xf numFmtId="0" fontId="26" fillId="4" borderId="9" xfId="0" applyFont="1" applyFill="1" applyBorder="1" applyAlignment="1">
      <alignment horizontal="right" vertical="center"/>
    </xf>
    <xf numFmtId="4" fontId="26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177" fontId="3" fillId="0" borderId="0" xfId="0" applyNumberFormat="1" applyFont="1"/>
    <xf numFmtId="3" fontId="3" fillId="0" borderId="0" xfId="0" applyNumberFormat="1" applyFont="1"/>
    <xf numFmtId="179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27" fillId="0" borderId="0" xfId="0" applyFont="1" applyAlignment="1">
      <alignment horizontal="center"/>
    </xf>
    <xf numFmtId="0" fontId="28" fillId="23" borderId="44" xfId="0" applyFont="1" applyFill="1" applyBorder="1" applyAlignment="1">
      <alignment horizontal="center"/>
    </xf>
    <xf numFmtId="0" fontId="29" fillId="24" borderId="44" xfId="0" applyFont="1" applyFill="1" applyBorder="1" applyAlignment="1">
      <alignment horizontal="left"/>
    </xf>
    <xf numFmtId="3" fontId="29" fillId="24" borderId="44" xfId="0" applyNumberFormat="1" applyFont="1" applyFill="1" applyBorder="1" applyAlignment="1">
      <alignment horizontal="right"/>
    </xf>
    <xf numFmtId="0" fontId="29" fillId="2" borderId="44" xfId="0" applyFont="1" applyFill="1" applyBorder="1" applyAlignment="1">
      <alignment horizontal="left"/>
    </xf>
    <xf numFmtId="3" fontId="29" fillId="2" borderId="44" xfId="0" applyNumberFormat="1" applyFont="1" applyFill="1" applyBorder="1" applyAlignment="1">
      <alignment horizontal="right"/>
    </xf>
    <xf numFmtId="0" fontId="30" fillId="0" borderId="0" xfId="0" applyFont="1" applyAlignment="1">
      <alignment horizontal="center"/>
    </xf>
    <xf numFmtId="0" fontId="29" fillId="22" borderId="44" xfId="0" applyFont="1" applyFill="1" applyBorder="1" applyAlignment="1">
      <alignment horizontal="left"/>
    </xf>
    <xf numFmtId="3" fontId="29" fillId="22" borderId="44" xfId="0" applyNumberFormat="1" applyFont="1" applyFill="1" applyBorder="1" applyAlignment="1">
      <alignment horizontal="right"/>
    </xf>
    <xf numFmtId="0" fontId="4" fillId="25" borderId="13" xfId="0" applyFont="1" applyFill="1" applyBorder="1" applyAlignment="1">
      <alignment horizontal="center"/>
    </xf>
    <xf numFmtId="0" fontId="4" fillId="25" borderId="45" xfId="0" applyFont="1" applyFill="1" applyBorder="1" applyAlignment="1">
      <alignment horizontal="center"/>
    </xf>
    <xf numFmtId="0" fontId="4" fillId="25" borderId="46" xfId="0" applyFont="1" applyFill="1" applyBorder="1" applyAlignment="1">
      <alignment horizontal="center"/>
    </xf>
    <xf numFmtId="0" fontId="4" fillId="25" borderId="47" xfId="0" applyFont="1" applyFill="1" applyBorder="1" applyAlignment="1">
      <alignment horizontal="center"/>
    </xf>
    <xf numFmtId="0" fontId="7" fillId="0" borderId="0" xfId="0" applyFont="1"/>
    <xf numFmtId="0" fontId="4" fillId="25" borderId="48" xfId="0" applyFont="1" applyFill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18" borderId="49" xfId="0" applyFont="1" applyFill="1" applyBorder="1" applyAlignment="1">
      <alignment horizontal="center"/>
    </xf>
    <xf numFmtId="0" fontId="15" fillId="18" borderId="9" xfId="0" applyFont="1" applyFill="1" applyBorder="1" applyAlignment="1">
      <alignment horizontal="center"/>
    </xf>
    <xf numFmtId="3" fontId="31" fillId="18" borderId="9" xfId="0" applyNumberFormat="1" applyFont="1" applyFill="1" applyBorder="1"/>
    <xf numFmtId="3" fontId="31" fillId="18" borderId="10" xfId="0" applyNumberFormat="1" applyFont="1" applyFill="1" applyBorder="1"/>
    <xf numFmtId="3" fontId="31" fillId="18" borderId="50" xfId="0" applyNumberFormat="1" applyFont="1" applyFill="1" applyBorder="1"/>
    <xf numFmtId="3" fontId="31" fillId="18" borderId="12" xfId="0" applyNumberFormat="1" applyFont="1" applyFill="1" applyBorder="1"/>
    <xf numFmtId="0" fontId="31" fillId="0" borderId="0" xfId="0" applyFont="1" applyAlignment="1">
      <alignment horizontal="center"/>
    </xf>
    <xf numFmtId="3" fontId="31" fillId="18" borderId="43" xfId="0" applyNumberFormat="1" applyFont="1" applyFill="1" applyBorder="1"/>
    <xf numFmtId="181" fontId="31" fillId="18" borderId="9" xfId="0" applyNumberFormat="1" applyFont="1" applyFill="1" applyBorder="1" applyAlignment="1">
      <alignment horizontal="center"/>
    </xf>
    <xf numFmtId="0" fontId="31" fillId="18" borderId="9" xfId="0" applyFont="1" applyFill="1" applyBorder="1" applyAlignment="1">
      <alignment horizontal="center"/>
    </xf>
    <xf numFmtId="0" fontId="7" fillId="18" borderId="9" xfId="0" applyFont="1" applyFill="1" applyBorder="1" applyAlignment="1">
      <alignment horizontal="center"/>
    </xf>
    <xf numFmtId="0" fontId="32" fillId="0" borderId="0" xfId="0" applyFont="1"/>
    <xf numFmtId="0" fontId="31" fillId="0" borderId="0" xfId="0" applyFont="1"/>
    <xf numFmtId="0" fontId="31" fillId="18" borderId="49" xfId="0" applyFont="1" applyFill="1" applyBorder="1" applyAlignment="1">
      <alignment horizontal="left"/>
    </xf>
    <xf numFmtId="0" fontId="15" fillId="18" borderId="49" xfId="0" applyFont="1" applyFill="1" applyBorder="1" applyAlignment="1">
      <alignment horizontal="center"/>
    </xf>
    <xf numFmtId="0" fontId="31" fillId="18" borderId="9" xfId="0" applyFont="1" applyFill="1" applyBorder="1"/>
    <xf numFmtId="4" fontId="31" fillId="18" borderId="9" xfId="0" applyNumberFormat="1" applyFont="1" applyFill="1" applyBorder="1"/>
    <xf numFmtId="4" fontId="31" fillId="18" borderId="10" xfId="0" applyNumberFormat="1" applyFont="1" applyFill="1" applyBorder="1"/>
    <xf numFmtId="4" fontId="31" fillId="18" borderId="50" xfId="0" applyNumberFormat="1" applyFont="1" applyFill="1" applyBorder="1"/>
    <xf numFmtId="0" fontId="31" fillId="18" borderId="12" xfId="0" applyFont="1" applyFill="1" applyBorder="1"/>
    <xf numFmtId="4" fontId="31" fillId="18" borderId="43" xfId="0" applyNumberFormat="1" applyFont="1" applyFill="1" applyBorder="1"/>
    <xf numFmtId="4" fontId="31" fillId="18" borderId="52" xfId="0" applyNumberFormat="1" applyFont="1" applyFill="1" applyBorder="1"/>
    <xf numFmtId="181" fontId="32" fillId="26" borderId="9" xfId="0" applyNumberFormat="1" applyFont="1" applyFill="1" applyBorder="1" applyAlignment="1">
      <alignment horizontal="center"/>
    </xf>
    <xf numFmtId="4" fontId="32" fillId="26" borderId="9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3" fontId="34" fillId="0" borderId="0" xfId="0" applyNumberFormat="1" applyFont="1" applyAlignment="1">
      <alignment vertical="center"/>
    </xf>
    <xf numFmtId="0" fontId="3" fillId="0" borderId="0" xfId="0" applyFont="1"/>
    <xf numFmtId="3" fontId="35" fillId="0" borderId="0" xfId="0" applyNumberFormat="1" applyFont="1"/>
    <xf numFmtId="0" fontId="35" fillId="0" borderId="0" xfId="0" applyFont="1"/>
    <xf numFmtId="0" fontId="6" fillId="0" borderId="0" xfId="0" applyFont="1" applyAlignment="1">
      <alignment horizontal="center" vertical="center"/>
    </xf>
    <xf numFmtId="0" fontId="36" fillId="0" borderId="0" xfId="0" applyFont="1"/>
    <xf numFmtId="3" fontId="36" fillId="0" borderId="0" xfId="0" applyNumberFormat="1" applyFont="1"/>
    <xf numFmtId="0" fontId="37" fillId="0" borderId="0" xfId="0" applyFont="1"/>
    <xf numFmtId="3" fontId="37" fillId="0" borderId="0" xfId="0" applyNumberFormat="1" applyFont="1"/>
    <xf numFmtId="0" fontId="9" fillId="2" borderId="4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0" borderId="7" xfId="0" applyFont="1" applyBorder="1"/>
    <xf numFmtId="177" fontId="12" fillId="0" borderId="32" xfId="0" applyNumberFormat="1" applyFont="1" applyBorder="1" applyAlignment="1">
      <alignment horizontal="right" vertical="center"/>
    </xf>
    <xf numFmtId="0" fontId="0" fillId="0" borderId="0" xfId="0"/>
    <xf numFmtId="0" fontId="11" fillId="0" borderId="42" xfId="0" applyFont="1" applyBorder="1"/>
    <xf numFmtId="180" fontId="12" fillId="0" borderId="39" xfId="0" applyNumberFormat="1" applyFont="1" applyBorder="1" applyAlignment="1">
      <alignment horizontal="right" vertical="center"/>
    </xf>
    <xf numFmtId="0" fontId="11" fillId="0" borderId="40" xfId="0" applyFont="1" applyBorder="1"/>
    <xf numFmtId="0" fontId="11" fillId="0" borderId="41" xfId="0" applyFont="1" applyBorder="1"/>
    <xf numFmtId="177" fontId="12" fillId="0" borderId="36" xfId="0" applyNumberFormat="1" applyFont="1" applyBorder="1" applyAlignment="1">
      <alignment horizontal="right" vertical="center"/>
    </xf>
    <xf numFmtId="0" fontId="11" fillId="0" borderId="37" xfId="0" applyFont="1" applyBorder="1"/>
    <xf numFmtId="0" fontId="11" fillId="0" borderId="38" xfId="0" applyFont="1" applyBorder="1"/>
    <xf numFmtId="177" fontId="26" fillId="0" borderId="39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4" borderId="13" xfId="0" applyFont="1" applyFill="1" applyBorder="1" applyAlignment="1">
      <alignment horizontal="right" vertical="center"/>
    </xf>
    <xf numFmtId="0" fontId="11" fillId="0" borderId="43" xfId="0" applyFont="1" applyBorder="1"/>
    <xf numFmtId="180" fontId="12" fillId="0" borderId="39" xfId="0" applyNumberFormat="1" applyFont="1" applyBorder="1" applyAlignment="1">
      <alignment vertical="center"/>
    </xf>
    <xf numFmtId="0" fontId="12" fillId="4" borderId="10" xfId="0" applyFont="1" applyFill="1" applyBorder="1" applyAlignment="1">
      <alignment horizontal="left" vertical="center"/>
    </xf>
    <xf numFmtId="0" fontId="11" fillId="0" borderId="11" xfId="0" applyFont="1" applyBorder="1"/>
    <xf numFmtId="0" fontId="11" fillId="0" borderId="12" xfId="0" applyFont="1" applyBorder="1"/>
    <xf numFmtId="0" fontId="32" fillId="0" borderId="0" xfId="0" applyFont="1"/>
    <xf numFmtId="0" fontId="31" fillId="0" borderId="13" xfId="0" applyFont="1" applyBorder="1" applyAlignment="1">
      <alignment horizontal="center" vertical="center"/>
    </xf>
    <xf numFmtId="0" fontId="11" fillId="0" borderId="51" xfId="0" applyFont="1" applyBorder="1"/>
    <xf numFmtId="0" fontId="3" fillId="0" borderId="1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MRR 추이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'Global(계약시점)'!$J$42</c:f>
              <c:strCache>
                <c:ptCount val="1"/>
                <c:pt idx="0">
                  <c:v>기존 License ($)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065-4E84-B4FB-DEB8D0AAD9C0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B065-4E84-B4FB-DEB8D0AAD9C0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B065-4E84-B4FB-DEB8D0AAD9C0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B065-4E84-B4FB-DEB8D0AAD9C0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B065-4E84-B4FB-DEB8D0AAD9C0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B065-4E84-B4FB-DEB8D0AAD9C0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B065-4E84-B4FB-DEB8D0AAD9C0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B065-4E84-B4FB-DEB8D0AAD9C0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B065-4E84-B4FB-DEB8D0AAD9C0}"/>
              </c:ext>
            </c:extLst>
          </c:dPt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B065-4E84-B4FB-DEB8D0AAD9C0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B065-4E84-B4FB-DEB8D0AAD9C0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B065-4E84-B4FB-DEB8D0AAD9C0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B065-4E84-B4FB-DEB8D0AAD9C0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B065-4E84-B4FB-DEB8D0AAD9C0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B065-4E84-B4FB-DEB8D0AAD9C0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B065-4E84-B4FB-DEB8D0AAD9C0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B065-4E84-B4FB-DEB8D0AAD9C0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B065-4E84-B4FB-DEB8D0AAD9C0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B065-4E84-B4FB-DEB8D0AAD9C0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B065-4E84-B4FB-DEB8D0AAD9C0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B065-4E84-B4FB-DEB8D0AAD9C0}"/>
              </c:ext>
            </c:extLst>
          </c:dPt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B065-4E84-B4FB-DEB8D0AAD9C0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B065-4E84-B4FB-DEB8D0AAD9C0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B065-4E84-B4FB-DEB8D0AAD9C0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B065-4E84-B4FB-DEB8D0AAD9C0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B065-4E84-B4FB-DEB8D0AAD9C0}"/>
              </c:ext>
            </c:extLst>
          </c:dPt>
          <c:dPt>
            <c:idx val="2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B065-4E84-B4FB-DEB8D0AAD9C0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B065-4E84-B4FB-DEB8D0AAD9C0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B065-4E84-B4FB-DEB8D0AAD9C0}"/>
              </c:ext>
            </c:extLst>
          </c:dPt>
          <c:dPt>
            <c:idx val="3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B065-4E84-B4FB-DEB8D0AAD9C0}"/>
              </c:ext>
            </c:extLst>
          </c:dPt>
          <c:dPt>
            <c:idx val="3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B065-4E84-B4FB-DEB8D0AAD9C0}"/>
              </c:ext>
            </c:extLst>
          </c:dPt>
          <c:dPt>
            <c:idx val="3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B065-4E84-B4FB-DEB8D0AAD9C0}"/>
              </c:ext>
            </c:extLst>
          </c:dPt>
          <c:dPt>
            <c:idx val="3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B065-4E84-B4FB-DEB8D0AAD9C0}"/>
              </c:ext>
            </c:extLst>
          </c:dPt>
          <c:dPt>
            <c:idx val="3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B065-4E84-B4FB-DEB8D0AAD9C0}"/>
              </c:ext>
            </c:extLst>
          </c:dPt>
          <c:dPt>
            <c:idx val="3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B065-4E84-B4FB-DEB8D0AAD9C0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B065-4E84-B4FB-DEB8D0AAD9C0}"/>
              </c:ext>
            </c:extLst>
          </c:dPt>
          <c:dPt>
            <c:idx val="3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B065-4E84-B4FB-DEB8D0AAD9C0}"/>
              </c:ext>
            </c:extLst>
          </c:dPt>
          <c:dPt>
            <c:idx val="3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B065-4E84-B4FB-DEB8D0AAD9C0}"/>
              </c:ext>
            </c:extLst>
          </c:dPt>
          <c:dPt>
            <c:idx val="3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B065-4E84-B4FB-DEB8D0AAD9C0}"/>
              </c:ext>
            </c:extLst>
          </c:dPt>
          <c:dPt>
            <c:idx val="4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B065-4E84-B4FB-DEB8D0AAD9C0}"/>
              </c:ext>
            </c:extLst>
          </c:dPt>
          <c:dPt>
            <c:idx val="4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B065-4E84-B4FB-DEB8D0AAD9C0}"/>
              </c:ext>
            </c:extLst>
          </c:dPt>
          <c:dPt>
            <c:idx val="4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B065-4E84-B4FB-DEB8D0AAD9C0}"/>
              </c:ext>
            </c:extLst>
          </c:dPt>
          <c:dPt>
            <c:idx val="4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B065-4E84-B4FB-DEB8D0AAD9C0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B065-4E84-B4FB-DEB8D0AAD9C0}"/>
              </c:ext>
            </c:extLst>
          </c:dPt>
          <c:dPt>
            <c:idx val="4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B065-4E84-B4FB-DEB8D0AAD9C0}"/>
              </c:ext>
            </c:extLst>
          </c:dPt>
          <c:dPt>
            <c:idx val="4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B065-4E84-B4FB-DEB8D0AAD9C0}"/>
              </c:ext>
            </c:extLst>
          </c:dPt>
          <c:dPt>
            <c:idx val="4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E-B065-4E84-B4FB-DEB8D0AAD9C0}"/>
              </c:ext>
            </c:extLst>
          </c:dPt>
          <c:dPt>
            <c:idx val="4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B065-4E84-B4FB-DEB8D0AAD9C0}"/>
              </c:ext>
            </c:extLst>
          </c:dPt>
          <c:dPt>
            <c:idx val="4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B065-4E84-B4FB-DEB8D0AAD9C0}"/>
              </c:ext>
            </c:extLst>
          </c:dPt>
          <c:dPt>
            <c:idx val="5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B065-4E84-B4FB-DEB8D0AAD9C0}"/>
              </c:ext>
            </c:extLst>
          </c:dPt>
          <c:dPt>
            <c:idx val="5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B065-4E84-B4FB-DEB8D0AAD9C0}"/>
              </c:ext>
            </c:extLst>
          </c:dPt>
          <c:dPt>
            <c:idx val="5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B065-4E84-B4FB-DEB8D0AAD9C0}"/>
              </c:ext>
            </c:extLst>
          </c:dPt>
          <c:dPt>
            <c:idx val="5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B065-4E84-B4FB-DEB8D0AAD9C0}"/>
              </c:ext>
            </c:extLst>
          </c:dPt>
          <c:dPt>
            <c:idx val="5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B065-4E84-B4FB-DEB8D0AAD9C0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B065-4E84-B4FB-DEB8D0AAD9C0}"/>
              </c:ext>
            </c:extLst>
          </c:dPt>
          <c:dPt>
            <c:idx val="5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B065-4E84-B4FB-DEB8D0AAD9C0}"/>
              </c:ext>
            </c:extLst>
          </c:dPt>
          <c:dPt>
            <c:idx val="5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B065-4E84-B4FB-DEB8D0AAD9C0}"/>
              </c:ext>
            </c:extLst>
          </c:dPt>
          <c:dPt>
            <c:idx val="5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B065-4E84-B4FB-DEB8D0AAD9C0}"/>
              </c:ext>
            </c:extLst>
          </c:dPt>
          <c:dPt>
            <c:idx val="6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B065-4E84-B4FB-DEB8D0AAD9C0}"/>
              </c:ext>
            </c:extLst>
          </c:dPt>
          <c:dPt>
            <c:idx val="6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B065-4E84-B4FB-DEB8D0AAD9C0}"/>
              </c:ext>
            </c:extLst>
          </c:dPt>
          <c:dPt>
            <c:idx val="6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B065-4E84-B4FB-DEB8D0AAD9C0}"/>
              </c:ext>
            </c:extLst>
          </c:dPt>
          <c:dPt>
            <c:idx val="6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D-B065-4E84-B4FB-DEB8D0AAD9C0}"/>
              </c:ext>
            </c:extLst>
          </c:dPt>
          <c:dPt>
            <c:idx val="6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B065-4E84-B4FB-DEB8D0AAD9C0}"/>
              </c:ext>
            </c:extLst>
          </c:dPt>
          <c:dPt>
            <c:idx val="6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B065-4E84-B4FB-DEB8D0AAD9C0}"/>
              </c:ext>
            </c:extLst>
          </c:dPt>
          <c:dPt>
            <c:idx val="6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B065-4E84-B4FB-DEB8D0AAD9C0}"/>
              </c:ext>
            </c:extLst>
          </c:dPt>
          <c:dPt>
            <c:idx val="6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B065-4E84-B4FB-DEB8D0AAD9C0}"/>
              </c:ext>
            </c:extLst>
          </c:dPt>
          <c:dPt>
            <c:idx val="6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B065-4E84-B4FB-DEB8D0AAD9C0}"/>
              </c:ext>
            </c:extLst>
          </c:dPt>
          <c:dPt>
            <c:idx val="7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B065-4E84-B4FB-DEB8D0AAD9C0}"/>
              </c:ext>
            </c:extLst>
          </c:dPt>
          <c:dPt>
            <c:idx val="7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B065-4E84-B4FB-DEB8D0AAD9C0}"/>
              </c:ext>
            </c:extLst>
          </c:dPt>
          <c:dPt>
            <c:idx val="7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B065-4E84-B4FB-DEB8D0AAD9C0}"/>
              </c:ext>
            </c:extLst>
          </c:dPt>
          <c:dPt>
            <c:idx val="7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B065-4E84-B4FB-DEB8D0AAD9C0}"/>
              </c:ext>
            </c:extLst>
          </c:dPt>
          <c:dPt>
            <c:idx val="7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B065-4E84-B4FB-DEB8D0AAD9C0}"/>
              </c:ext>
            </c:extLst>
          </c:dPt>
          <c:dPt>
            <c:idx val="7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8-B065-4E84-B4FB-DEB8D0AAD9C0}"/>
              </c:ext>
            </c:extLst>
          </c:dPt>
          <c:dPt>
            <c:idx val="7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9-B065-4E84-B4FB-DEB8D0AAD9C0}"/>
              </c:ext>
            </c:extLst>
          </c:dPt>
          <c:dPt>
            <c:idx val="7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B065-4E84-B4FB-DEB8D0AAD9C0}"/>
              </c:ext>
            </c:extLst>
          </c:dPt>
          <c:dPt>
            <c:idx val="7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B065-4E84-B4FB-DEB8D0AAD9C0}"/>
              </c:ext>
            </c:extLst>
          </c:dPt>
          <c:dPt>
            <c:idx val="8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C-B065-4E84-B4FB-DEB8D0AAD9C0}"/>
              </c:ext>
            </c:extLst>
          </c:dPt>
          <c:dPt>
            <c:idx val="8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D-B065-4E84-B4FB-DEB8D0AAD9C0}"/>
              </c:ext>
            </c:extLst>
          </c:dPt>
          <c:dPt>
            <c:idx val="8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B065-4E84-B4FB-DEB8D0AAD9C0}"/>
              </c:ext>
            </c:extLst>
          </c:dPt>
          <c:dPt>
            <c:idx val="8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B065-4E84-B4FB-DEB8D0AAD9C0}"/>
              </c:ext>
            </c:extLst>
          </c:dPt>
          <c:dPt>
            <c:idx val="8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0-B065-4E84-B4FB-DEB8D0AAD9C0}"/>
              </c:ext>
            </c:extLst>
          </c:dPt>
          <c:dPt>
            <c:idx val="8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1-B065-4E84-B4FB-DEB8D0AAD9C0}"/>
              </c:ext>
            </c:extLst>
          </c:dPt>
          <c:dPt>
            <c:idx val="8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2-B065-4E84-B4FB-DEB8D0AAD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'Global(계약시점)'!$K$41:$CT$41</c:f>
              <c:numCache>
                <c:formatCode>General</c:formatCode>
                <c:ptCount val="8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2026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2027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2028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2029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2030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</c:numCache>
            </c:numRef>
          </c:cat>
          <c:val>
            <c:numRef>
              <c:f>'Global(계약시점)'!$K$42:$CT$42</c:f>
              <c:numCache>
                <c:formatCode>[$$]#,##0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B065-4E84-B4FB-DEB8D0AAD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087440"/>
        <c:axId val="765009439"/>
      </c:barChart>
      <c:lineChart>
        <c:grouping val="standard"/>
        <c:varyColors val="0"/>
        <c:ser>
          <c:idx val="1"/>
          <c:order val="1"/>
          <c:tx>
            <c:strRef>
              <c:f>'Global(계약시점)'!$J$43</c:f>
              <c:strCache>
                <c:ptCount val="1"/>
                <c:pt idx="0">
                  <c:v>기존 MRR ($)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54-B065-4E84-B4FB-DEB8D0AAD9C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55-B065-4E84-B4FB-DEB8D0AAD9C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56-B065-4E84-B4FB-DEB8D0AAD9C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57-B065-4E84-B4FB-DEB8D0AAD9C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58-B065-4E84-B4FB-DEB8D0AAD9C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59-B065-4E84-B4FB-DEB8D0AAD9C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5A-B065-4E84-B4FB-DEB8D0AAD9C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5B-B065-4E84-B4FB-DEB8D0AAD9C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5C-B065-4E84-B4FB-DEB8D0AAD9C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5D-B065-4E84-B4FB-DEB8D0AAD9C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5E-B065-4E84-B4FB-DEB8D0AAD9C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5F-B065-4E84-B4FB-DEB8D0AAD9C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60-B065-4E84-B4FB-DEB8D0AAD9C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61-B065-4E84-B4FB-DEB8D0AAD9C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62-B065-4E84-B4FB-DEB8D0AAD9C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63-B065-4E84-B4FB-DEB8D0AAD9C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64-B065-4E84-B4FB-DEB8D0AAD9C0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65-B065-4E84-B4FB-DEB8D0AAD9C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66-B065-4E84-B4FB-DEB8D0AAD9C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67-B065-4E84-B4FB-DEB8D0AAD9C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68-B065-4E84-B4FB-DEB8D0AAD9C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69-B065-4E84-B4FB-DEB8D0AAD9C0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6A-B065-4E84-B4FB-DEB8D0AAD9C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6B-B065-4E84-B4FB-DEB8D0AAD9C0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6C-B065-4E84-B4FB-DEB8D0AAD9C0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6D-B065-4E84-B4FB-DEB8D0AAD9C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6E-B065-4E84-B4FB-DEB8D0AAD9C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6F-B065-4E84-B4FB-DEB8D0AAD9C0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70-B065-4E84-B4FB-DEB8D0AAD9C0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71-B065-4E84-B4FB-DEB8D0AAD9C0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72-B065-4E84-B4FB-DEB8D0AAD9C0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73-B065-4E84-B4FB-DEB8D0AAD9C0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74-B065-4E84-B4FB-DEB8D0AAD9C0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75-B065-4E84-B4FB-DEB8D0AAD9C0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76-B065-4E84-B4FB-DEB8D0AAD9C0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77-B065-4E84-B4FB-DEB8D0AAD9C0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78-B065-4E84-B4FB-DEB8D0AAD9C0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79-B065-4E84-B4FB-DEB8D0AAD9C0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7A-B065-4E84-B4FB-DEB8D0AAD9C0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7B-B065-4E84-B4FB-DEB8D0AAD9C0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7C-B065-4E84-B4FB-DEB8D0AAD9C0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7D-B065-4E84-B4FB-DEB8D0AAD9C0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7E-B065-4E84-B4FB-DEB8D0AAD9C0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7F-B065-4E84-B4FB-DEB8D0AAD9C0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80-B065-4E84-B4FB-DEB8D0AAD9C0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81-B065-4E84-B4FB-DEB8D0AAD9C0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82-B065-4E84-B4FB-DEB8D0AAD9C0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83-B065-4E84-B4FB-DEB8D0AAD9C0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84-B065-4E84-B4FB-DEB8D0AAD9C0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85-B065-4E84-B4FB-DEB8D0AAD9C0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86-B065-4E84-B4FB-DEB8D0AAD9C0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87-B065-4E84-B4FB-DEB8D0AAD9C0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88-B065-4E84-B4FB-DEB8D0AAD9C0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89-B065-4E84-B4FB-DEB8D0AAD9C0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8A-B065-4E84-B4FB-DEB8D0AAD9C0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8B-B065-4E84-B4FB-DEB8D0AAD9C0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8C-B065-4E84-B4FB-DEB8D0AAD9C0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8D-B065-4E84-B4FB-DEB8D0AAD9C0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8E-B065-4E84-B4FB-DEB8D0AAD9C0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8F-B065-4E84-B4FB-DEB8D0AAD9C0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90-B065-4E84-B4FB-DEB8D0AAD9C0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91-B065-4E84-B4FB-DEB8D0AAD9C0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92-B065-4E84-B4FB-DEB8D0AAD9C0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93-B065-4E84-B4FB-DEB8D0AAD9C0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94-B065-4E84-B4FB-DEB8D0AAD9C0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95-B065-4E84-B4FB-DEB8D0AAD9C0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96-B065-4E84-B4FB-DEB8D0AAD9C0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97-B065-4E84-B4FB-DEB8D0AAD9C0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98-B065-4E84-B4FB-DEB8D0AAD9C0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99-B065-4E84-B4FB-DEB8D0AAD9C0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9A-B065-4E84-B4FB-DEB8D0AAD9C0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9B-B065-4E84-B4FB-DEB8D0AAD9C0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9C-B065-4E84-B4FB-DEB8D0AAD9C0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9D-B065-4E84-B4FB-DEB8D0AAD9C0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9E-B065-4E84-B4FB-DEB8D0AAD9C0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9F-B065-4E84-B4FB-DEB8D0AAD9C0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A0-B065-4E84-B4FB-DEB8D0AAD9C0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A1-B065-4E84-B4FB-DEB8D0AAD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'Global(계약시점)'!$K$41:$CT$41</c:f>
              <c:numCache>
                <c:formatCode>General</c:formatCode>
                <c:ptCount val="8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2026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2027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2028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2029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2030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</c:numCache>
            </c:numRef>
          </c:cat>
          <c:val>
            <c:numRef>
              <c:f>'Global(계약시점)'!$K$43:$CT$43</c:f>
              <c:numCache>
                <c:formatCode>[$$]#,##0</c:formatCode>
                <c:ptCount val="88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10446.999999999998</c:v>
                </c:pt>
                <c:pt idx="16">
                  <c:v>10446.999999999998</c:v>
                </c:pt>
                <c:pt idx="17">
                  <c:v>10446.999999999998</c:v>
                </c:pt>
                <c:pt idx="18">
                  <c:v>10446.999999999998</c:v>
                </c:pt>
                <c:pt idx="19">
                  <c:v>6237.666666666667</c:v>
                </c:pt>
                <c:pt idx="20">
                  <c:v>6237.666666666667</c:v>
                </c:pt>
                <c:pt idx="21">
                  <c:v>6237.666666666667</c:v>
                </c:pt>
                <c:pt idx="22">
                  <c:v>6237.666666666667</c:v>
                </c:pt>
                <c:pt idx="23">
                  <c:v>6237.666666666667</c:v>
                </c:pt>
                <c:pt idx="24">
                  <c:v>6237.666666666667</c:v>
                </c:pt>
                <c:pt idx="25">
                  <c:v>6237.666666666667</c:v>
                </c:pt>
                <c:pt idx="26">
                  <c:v>6237.666666666667</c:v>
                </c:pt>
                <c:pt idx="27">
                  <c:v>23561.885000000002</c:v>
                </c:pt>
                <c:pt idx="29">
                  <c:v>24750.114999999998</c:v>
                </c:pt>
                <c:pt idx="30">
                  <c:v>25466.494999999999</c:v>
                </c:pt>
                <c:pt idx="31">
                  <c:v>25466.494999999999</c:v>
                </c:pt>
                <c:pt idx="32">
                  <c:v>25466.494999999999</c:v>
                </c:pt>
                <c:pt idx="33">
                  <c:v>25466.494999999999</c:v>
                </c:pt>
                <c:pt idx="34">
                  <c:v>25466.494999999999</c:v>
                </c:pt>
                <c:pt idx="35">
                  <c:v>25466.494999999999</c:v>
                </c:pt>
                <c:pt idx="36">
                  <c:v>25466.494999999999</c:v>
                </c:pt>
                <c:pt idx="37">
                  <c:v>25466.494999999999</c:v>
                </c:pt>
                <c:pt idx="38">
                  <c:v>25466.494999999999</c:v>
                </c:pt>
                <c:pt idx="39">
                  <c:v>25466.494999999999</c:v>
                </c:pt>
                <c:pt idx="40">
                  <c:v>58799.494999999995</c:v>
                </c:pt>
                <c:pt idx="41">
                  <c:v>58799.494999999995</c:v>
                </c:pt>
                <c:pt idx="42">
                  <c:v>58799.494999999995</c:v>
                </c:pt>
                <c:pt idx="43">
                  <c:v>58799.494999999995</c:v>
                </c:pt>
                <c:pt idx="44">
                  <c:v>58799.494999999995</c:v>
                </c:pt>
                <c:pt idx="45">
                  <c:v>58799.494999999995</c:v>
                </c:pt>
                <c:pt idx="46">
                  <c:v>58799.494999999995</c:v>
                </c:pt>
                <c:pt idx="47">
                  <c:v>58799.494999999995</c:v>
                </c:pt>
                <c:pt idx="48">
                  <c:v>58799.494999999995</c:v>
                </c:pt>
                <c:pt idx="49">
                  <c:v>58799.494999999995</c:v>
                </c:pt>
                <c:pt idx="50">
                  <c:v>58799.494999999995</c:v>
                </c:pt>
                <c:pt idx="51">
                  <c:v>58799.494999999995</c:v>
                </c:pt>
                <c:pt idx="52">
                  <c:v>100466.495</c:v>
                </c:pt>
                <c:pt idx="53">
                  <c:v>100045.59833333333</c:v>
                </c:pt>
                <c:pt idx="54">
                  <c:v>100045.59833333333</c:v>
                </c:pt>
                <c:pt idx="55">
                  <c:v>100045.59833333333</c:v>
                </c:pt>
                <c:pt idx="56">
                  <c:v>100045.59833333333</c:v>
                </c:pt>
                <c:pt idx="57">
                  <c:v>100045.59833333333</c:v>
                </c:pt>
                <c:pt idx="58">
                  <c:v>100045.59833333333</c:v>
                </c:pt>
                <c:pt idx="59">
                  <c:v>100045.59833333333</c:v>
                </c:pt>
                <c:pt idx="60">
                  <c:v>100045.59833333333</c:v>
                </c:pt>
                <c:pt idx="61">
                  <c:v>100045.59833333333</c:v>
                </c:pt>
                <c:pt idx="62">
                  <c:v>98848.931666666671</c:v>
                </c:pt>
                <c:pt idx="63">
                  <c:v>98848.931666666671</c:v>
                </c:pt>
                <c:pt idx="64">
                  <c:v>98848.931666666671</c:v>
                </c:pt>
                <c:pt idx="65">
                  <c:v>98848.931666666671</c:v>
                </c:pt>
                <c:pt idx="66">
                  <c:v>95515.931666666671</c:v>
                </c:pt>
                <c:pt idx="67">
                  <c:v>95515.931666666671</c:v>
                </c:pt>
                <c:pt idx="68">
                  <c:v>95515.931666666671</c:v>
                </c:pt>
                <c:pt idx="69">
                  <c:v>85515.931666666671</c:v>
                </c:pt>
                <c:pt idx="70">
                  <c:v>85515.931666666671</c:v>
                </c:pt>
                <c:pt idx="71">
                  <c:v>74443.431666666671</c:v>
                </c:pt>
                <c:pt idx="72">
                  <c:v>74443.431666666671</c:v>
                </c:pt>
                <c:pt idx="73">
                  <c:v>74443.431666666671</c:v>
                </c:pt>
                <c:pt idx="74">
                  <c:v>63205.431666666671</c:v>
                </c:pt>
                <c:pt idx="75">
                  <c:v>61518.431666666671</c:v>
                </c:pt>
                <c:pt idx="76">
                  <c:v>61518.431666666671</c:v>
                </c:pt>
                <c:pt idx="77">
                  <c:v>57351.431666666671</c:v>
                </c:pt>
                <c:pt idx="78">
                  <c:v>57351.431666666671</c:v>
                </c:pt>
                <c:pt idx="79">
                  <c:v>56313.348333333328</c:v>
                </c:pt>
                <c:pt idx="80">
                  <c:v>39604.014999999999</c:v>
                </c:pt>
                <c:pt idx="81">
                  <c:v>38137.548333333332</c:v>
                </c:pt>
                <c:pt idx="82">
                  <c:v>35207.131666666668</c:v>
                </c:pt>
                <c:pt idx="83">
                  <c:v>35207.131666666668</c:v>
                </c:pt>
                <c:pt idx="84">
                  <c:v>21684.556666666667</c:v>
                </c:pt>
                <c:pt idx="85">
                  <c:v>21684.556666666667</c:v>
                </c:pt>
                <c:pt idx="86">
                  <c:v>21036.556666666667</c:v>
                </c:pt>
                <c:pt idx="87">
                  <c:v>8536.5566666666673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065-4E84-B4FB-DEB8D0AAD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087440"/>
        <c:axId val="765009439"/>
      </c:lineChart>
      <c:catAx>
        <c:axId val="135808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65009439"/>
        <c:crosses val="autoZero"/>
        <c:auto val="1"/>
        <c:lblAlgn val="ctr"/>
        <c:lblOffset val="100"/>
        <c:noMultiLvlLbl val="1"/>
      </c:catAx>
      <c:valAx>
        <c:axId val="765009439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580874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계약 TCV 추이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'Global(계약시점)'!$J$47</c:f>
              <c:strCache>
                <c:ptCount val="1"/>
                <c:pt idx="0">
                  <c:v> 신규 ARR ($)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A74-41D1-B72F-CD5261C37A34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A74-41D1-B72F-CD5261C37A34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A74-41D1-B72F-CD5261C37A34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4A74-41D1-B72F-CD5261C37A34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4A74-41D1-B72F-CD5261C37A34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4A74-41D1-B72F-CD5261C37A34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4A74-41D1-B72F-CD5261C37A34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4A74-41D1-B72F-CD5261C37A34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4A74-41D1-B72F-CD5261C37A34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4A74-41D1-B72F-CD5261C37A34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4A74-41D1-B72F-CD5261C37A34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4A74-41D1-B72F-CD5261C37A34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4A74-41D1-B72F-CD5261C37A34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4A74-41D1-B72F-CD5261C37A34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4A74-41D1-B72F-CD5261C37A34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4A74-41D1-B72F-CD5261C37A34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4A74-41D1-B72F-CD5261C37A34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4A74-41D1-B72F-CD5261C37A34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4A74-41D1-B72F-CD5261C37A34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4A74-41D1-B72F-CD5261C37A34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4A74-41D1-B72F-CD5261C37A34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4A74-41D1-B72F-CD5261C37A34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4A74-41D1-B72F-CD5261C37A34}"/>
              </c:ext>
            </c:extLst>
          </c:dPt>
          <c:dPt>
            <c:idx val="3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4A74-41D1-B72F-CD5261C37A34}"/>
              </c:ext>
            </c:extLst>
          </c:dPt>
          <c:dPt>
            <c:idx val="3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4A74-41D1-B72F-CD5261C37A34}"/>
              </c:ext>
            </c:extLst>
          </c:dPt>
          <c:dPt>
            <c:idx val="3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4A74-41D1-B72F-CD5261C37A34}"/>
              </c:ext>
            </c:extLst>
          </c:dPt>
          <c:dPt>
            <c:idx val="3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4A74-41D1-B72F-CD5261C37A34}"/>
              </c:ext>
            </c:extLst>
          </c:dPt>
          <c:dPt>
            <c:idx val="3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4A74-41D1-B72F-CD5261C37A34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4A74-41D1-B72F-CD5261C37A34}"/>
              </c:ext>
            </c:extLst>
          </c:dPt>
          <c:dPt>
            <c:idx val="3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4A74-41D1-B72F-CD5261C37A34}"/>
              </c:ext>
            </c:extLst>
          </c:dPt>
          <c:dPt>
            <c:idx val="3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4A74-41D1-B72F-CD5261C37A34}"/>
              </c:ext>
            </c:extLst>
          </c:dPt>
          <c:dPt>
            <c:idx val="4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4A74-41D1-B72F-CD5261C37A34}"/>
              </c:ext>
            </c:extLst>
          </c:dPt>
          <c:dPt>
            <c:idx val="4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4A74-41D1-B72F-CD5261C37A34}"/>
              </c:ext>
            </c:extLst>
          </c:dPt>
          <c:dPt>
            <c:idx val="4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4A74-41D1-B72F-CD5261C37A34}"/>
              </c:ext>
            </c:extLst>
          </c:dPt>
          <c:dPt>
            <c:idx val="4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4A74-41D1-B72F-CD5261C37A34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4A74-41D1-B72F-CD5261C37A34}"/>
              </c:ext>
            </c:extLst>
          </c:dPt>
          <c:dPt>
            <c:idx val="4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4A74-41D1-B72F-CD5261C37A34}"/>
              </c:ext>
            </c:extLst>
          </c:dPt>
          <c:dPt>
            <c:idx val="4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4A74-41D1-B72F-CD5261C37A34}"/>
              </c:ext>
            </c:extLst>
          </c:dPt>
          <c:dPt>
            <c:idx val="4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4A74-41D1-B72F-CD5261C37A34}"/>
              </c:ext>
            </c:extLst>
          </c:dPt>
          <c:dPt>
            <c:idx val="4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4A74-41D1-B72F-CD5261C37A34}"/>
              </c:ext>
            </c:extLst>
          </c:dPt>
          <c:dPt>
            <c:idx val="5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4A74-41D1-B72F-CD5261C37A34}"/>
              </c:ext>
            </c:extLst>
          </c:dPt>
          <c:dPt>
            <c:idx val="5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4A74-41D1-B72F-CD5261C37A34}"/>
              </c:ext>
            </c:extLst>
          </c:dPt>
          <c:dPt>
            <c:idx val="5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4A74-41D1-B72F-CD5261C37A34}"/>
              </c:ext>
            </c:extLst>
          </c:dPt>
          <c:dPt>
            <c:idx val="5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4A74-41D1-B72F-CD5261C37A34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4A74-41D1-B72F-CD5261C37A34}"/>
              </c:ext>
            </c:extLst>
          </c:dPt>
          <c:dPt>
            <c:idx val="5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4A74-41D1-B72F-CD5261C37A34}"/>
              </c:ext>
            </c:extLst>
          </c:dPt>
          <c:dPt>
            <c:idx val="5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E-4A74-41D1-B72F-CD5261C37A34}"/>
              </c:ext>
            </c:extLst>
          </c:dPt>
          <c:dPt>
            <c:idx val="5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4A74-41D1-B72F-CD5261C37A34}"/>
              </c:ext>
            </c:extLst>
          </c:dPt>
          <c:dPt>
            <c:idx val="6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4A74-41D1-B72F-CD5261C37A34}"/>
              </c:ext>
            </c:extLst>
          </c:dPt>
          <c:dPt>
            <c:idx val="6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4A74-41D1-B72F-CD5261C37A34}"/>
              </c:ext>
            </c:extLst>
          </c:dPt>
          <c:dPt>
            <c:idx val="6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4A74-41D1-B72F-CD5261C37A34}"/>
              </c:ext>
            </c:extLst>
          </c:dPt>
          <c:dPt>
            <c:idx val="6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4A74-41D1-B72F-CD5261C37A34}"/>
              </c:ext>
            </c:extLst>
          </c:dPt>
          <c:dPt>
            <c:idx val="6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4A74-41D1-B72F-CD5261C37A34}"/>
              </c:ext>
            </c:extLst>
          </c:dPt>
          <c:dPt>
            <c:idx val="6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4A74-41D1-B72F-CD5261C37A34}"/>
              </c:ext>
            </c:extLst>
          </c:dPt>
          <c:dPt>
            <c:idx val="6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4A74-41D1-B72F-CD5261C37A34}"/>
              </c:ext>
            </c:extLst>
          </c:dPt>
          <c:dPt>
            <c:idx val="6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4A74-41D1-B72F-CD5261C37A34}"/>
              </c:ext>
            </c:extLst>
          </c:dPt>
          <c:dPt>
            <c:idx val="6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4A74-41D1-B72F-CD5261C37A34}"/>
              </c:ext>
            </c:extLst>
          </c:dPt>
          <c:dPt>
            <c:idx val="7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4A74-41D1-B72F-CD5261C37A34}"/>
              </c:ext>
            </c:extLst>
          </c:dPt>
          <c:dPt>
            <c:idx val="7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4A74-41D1-B72F-CD5261C37A34}"/>
              </c:ext>
            </c:extLst>
          </c:dPt>
          <c:dPt>
            <c:idx val="7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4A74-41D1-B72F-CD5261C37A34}"/>
              </c:ext>
            </c:extLst>
          </c:dPt>
          <c:dPt>
            <c:idx val="7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4A74-41D1-B72F-CD5261C37A34}"/>
              </c:ext>
            </c:extLst>
          </c:dPt>
          <c:dPt>
            <c:idx val="7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D-4A74-41D1-B72F-CD5261C37A34}"/>
              </c:ext>
            </c:extLst>
          </c:dPt>
          <c:dPt>
            <c:idx val="7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4A74-41D1-B72F-CD5261C37A34}"/>
              </c:ext>
            </c:extLst>
          </c:dPt>
          <c:dPt>
            <c:idx val="7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4A74-41D1-B72F-CD5261C37A34}"/>
              </c:ext>
            </c:extLst>
          </c:dPt>
          <c:dPt>
            <c:idx val="7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4A74-41D1-B72F-CD5261C37A34}"/>
              </c:ext>
            </c:extLst>
          </c:dPt>
          <c:dPt>
            <c:idx val="8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4A74-41D1-B72F-CD5261C37A34}"/>
              </c:ext>
            </c:extLst>
          </c:dPt>
          <c:dPt>
            <c:idx val="8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4A74-41D1-B72F-CD5261C37A34}"/>
              </c:ext>
            </c:extLst>
          </c:dPt>
          <c:dPt>
            <c:idx val="8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4A74-41D1-B72F-CD5261C37A34}"/>
              </c:ext>
            </c:extLst>
          </c:dPt>
          <c:dPt>
            <c:idx val="8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4A74-41D1-B72F-CD5261C37A34}"/>
              </c:ext>
            </c:extLst>
          </c:dPt>
          <c:dPt>
            <c:idx val="8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4A74-41D1-B72F-CD5261C37A34}"/>
              </c:ext>
            </c:extLst>
          </c:dPt>
          <c:dPt>
            <c:idx val="8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4A74-41D1-B72F-CD5261C37A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'Global(계약시점)'!$K$41:$CT$41</c:f>
              <c:numCache>
                <c:formatCode>General</c:formatCode>
                <c:ptCount val="8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2026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2027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2028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2029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2030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</c:numCache>
            </c:numRef>
          </c:cat>
          <c:val>
            <c:numRef>
              <c:f>'Global(계약시점)'!$K$47:$CT$47</c:f>
              <c:numCache>
                <c:formatCode>General</c:formatCode>
                <c:ptCount val="88"/>
                <c:pt idx="0" formatCode="[$$]#,##0">
                  <c:v>0</c:v>
                </c:pt>
                <c:pt idx="3" formatCode="[$$]#,##0">
                  <c:v>161266.16666666666</c:v>
                </c:pt>
                <c:pt idx="15" formatCode="[$$]#,##0">
                  <c:v>49985.283333333326</c:v>
                </c:pt>
                <c:pt idx="27" formatCode="[$$]#,##0">
                  <c:v>173330</c:v>
                </c:pt>
                <c:pt idx="40" formatCode="[$$]#,##0">
                  <c:v>208337</c:v>
                </c:pt>
                <c:pt idx="52" formatCode="[$$]#,##0">
                  <c:v>0</c:v>
                </c:pt>
                <c:pt idx="64" formatCode="[$$]#,##0">
                  <c:v>0</c:v>
                </c:pt>
                <c:pt idx="76" formatCode="[$$]#,##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4A74-41D1-B72F-CD5261C37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689432"/>
        <c:axId val="986694011"/>
      </c:barChart>
      <c:catAx>
        <c:axId val="2128689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86694011"/>
        <c:crosses val="autoZero"/>
        <c:auto val="1"/>
        <c:lblAlgn val="ctr"/>
        <c:lblOffset val="100"/>
        <c:noMultiLvlLbl val="1"/>
      </c:catAx>
      <c:valAx>
        <c:axId val="986694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86894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ARR 추이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'Global(계약시점)'!$J$46</c:f>
              <c:strCache>
                <c:ptCount val="1"/>
                <c:pt idx="0">
                  <c:v>신규 MRR($)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C2E-4A2F-BE9A-373FF84C53C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C2E-4A2F-BE9A-373FF84C53C4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C2E-4A2F-BE9A-373FF84C53C4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4C2E-4A2F-BE9A-373FF84C53C4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4C2E-4A2F-BE9A-373FF84C53C4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4C2E-4A2F-BE9A-373FF84C53C4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4C2E-4A2F-BE9A-373FF84C53C4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4C2E-4A2F-BE9A-373FF84C53C4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4C2E-4A2F-BE9A-373FF84C53C4}"/>
              </c:ext>
            </c:extLst>
          </c:dPt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4C2E-4A2F-BE9A-373FF84C53C4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4C2E-4A2F-BE9A-373FF84C53C4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4C2E-4A2F-BE9A-373FF84C53C4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4C2E-4A2F-BE9A-373FF84C53C4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4C2E-4A2F-BE9A-373FF84C53C4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4C2E-4A2F-BE9A-373FF84C53C4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4C2E-4A2F-BE9A-373FF84C53C4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4C2E-4A2F-BE9A-373FF84C53C4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4C2E-4A2F-BE9A-373FF84C53C4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4C2E-4A2F-BE9A-373FF84C53C4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4C2E-4A2F-BE9A-373FF84C53C4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4C2E-4A2F-BE9A-373FF84C53C4}"/>
              </c:ext>
            </c:extLst>
          </c:dPt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4C2E-4A2F-BE9A-373FF84C53C4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4C2E-4A2F-BE9A-373FF84C53C4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4C2E-4A2F-BE9A-373FF84C53C4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4C2E-4A2F-BE9A-373FF84C53C4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4C2E-4A2F-BE9A-373FF84C53C4}"/>
              </c:ext>
            </c:extLst>
          </c:dPt>
          <c:dPt>
            <c:idx val="2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4C2E-4A2F-BE9A-373FF84C53C4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4C2E-4A2F-BE9A-373FF84C53C4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4C2E-4A2F-BE9A-373FF84C53C4}"/>
              </c:ext>
            </c:extLst>
          </c:dPt>
          <c:dPt>
            <c:idx val="3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4C2E-4A2F-BE9A-373FF84C53C4}"/>
              </c:ext>
            </c:extLst>
          </c:dPt>
          <c:dPt>
            <c:idx val="3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4C2E-4A2F-BE9A-373FF84C53C4}"/>
              </c:ext>
            </c:extLst>
          </c:dPt>
          <c:dPt>
            <c:idx val="3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4C2E-4A2F-BE9A-373FF84C53C4}"/>
              </c:ext>
            </c:extLst>
          </c:dPt>
          <c:dPt>
            <c:idx val="3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4C2E-4A2F-BE9A-373FF84C53C4}"/>
              </c:ext>
            </c:extLst>
          </c:dPt>
          <c:dPt>
            <c:idx val="3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4C2E-4A2F-BE9A-373FF84C53C4}"/>
              </c:ext>
            </c:extLst>
          </c:dPt>
          <c:dPt>
            <c:idx val="3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4C2E-4A2F-BE9A-373FF84C53C4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4C2E-4A2F-BE9A-373FF84C53C4}"/>
              </c:ext>
            </c:extLst>
          </c:dPt>
          <c:dPt>
            <c:idx val="3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4C2E-4A2F-BE9A-373FF84C53C4}"/>
              </c:ext>
            </c:extLst>
          </c:dPt>
          <c:dPt>
            <c:idx val="3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4C2E-4A2F-BE9A-373FF84C53C4}"/>
              </c:ext>
            </c:extLst>
          </c:dPt>
          <c:dPt>
            <c:idx val="3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4C2E-4A2F-BE9A-373FF84C53C4}"/>
              </c:ext>
            </c:extLst>
          </c:dPt>
          <c:dPt>
            <c:idx val="4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4C2E-4A2F-BE9A-373FF84C53C4}"/>
              </c:ext>
            </c:extLst>
          </c:dPt>
          <c:dPt>
            <c:idx val="4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4C2E-4A2F-BE9A-373FF84C53C4}"/>
              </c:ext>
            </c:extLst>
          </c:dPt>
          <c:dPt>
            <c:idx val="4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4C2E-4A2F-BE9A-373FF84C53C4}"/>
              </c:ext>
            </c:extLst>
          </c:dPt>
          <c:dPt>
            <c:idx val="4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4C2E-4A2F-BE9A-373FF84C53C4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4C2E-4A2F-BE9A-373FF84C53C4}"/>
              </c:ext>
            </c:extLst>
          </c:dPt>
          <c:dPt>
            <c:idx val="4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4C2E-4A2F-BE9A-373FF84C53C4}"/>
              </c:ext>
            </c:extLst>
          </c:dPt>
          <c:dPt>
            <c:idx val="4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4C2E-4A2F-BE9A-373FF84C53C4}"/>
              </c:ext>
            </c:extLst>
          </c:dPt>
          <c:dPt>
            <c:idx val="4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E-4C2E-4A2F-BE9A-373FF84C53C4}"/>
              </c:ext>
            </c:extLst>
          </c:dPt>
          <c:dPt>
            <c:idx val="4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4C2E-4A2F-BE9A-373FF84C53C4}"/>
              </c:ext>
            </c:extLst>
          </c:dPt>
          <c:dPt>
            <c:idx val="4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4C2E-4A2F-BE9A-373FF84C53C4}"/>
              </c:ext>
            </c:extLst>
          </c:dPt>
          <c:dPt>
            <c:idx val="5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4C2E-4A2F-BE9A-373FF84C53C4}"/>
              </c:ext>
            </c:extLst>
          </c:dPt>
          <c:dPt>
            <c:idx val="5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4C2E-4A2F-BE9A-373FF84C53C4}"/>
              </c:ext>
            </c:extLst>
          </c:dPt>
          <c:dPt>
            <c:idx val="5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4C2E-4A2F-BE9A-373FF84C53C4}"/>
              </c:ext>
            </c:extLst>
          </c:dPt>
          <c:dPt>
            <c:idx val="5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4C2E-4A2F-BE9A-373FF84C53C4}"/>
              </c:ext>
            </c:extLst>
          </c:dPt>
          <c:dPt>
            <c:idx val="5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4C2E-4A2F-BE9A-373FF84C53C4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4C2E-4A2F-BE9A-373FF84C53C4}"/>
              </c:ext>
            </c:extLst>
          </c:dPt>
          <c:dPt>
            <c:idx val="5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4C2E-4A2F-BE9A-373FF84C53C4}"/>
              </c:ext>
            </c:extLst>
          </c:dPt>
          <c:dPt>
            <c:idx val="5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4C2E-4A2F-BE9A-373FF84C53C4}"/>
              </c:ext>
            </c:extLst>
          </c:dPt>
          <c:dPt>
            <c:idx val="5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4C2E-4A2F-BE9A-373FF84C53C4}"/>
              </c:ext>
            </c:extLst>
          </c:dPt>
          <c:dPt>
            <c:idx val="6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4C2E-4A2F-BE9A-373FF84C53C4}"/>
              </c:ext>
            </c:extLst>
          </c:dPt>
          <c:dPt>
            <c:idx val="6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4C2E-4A2F-BE9A-373FF84C53C4}"/>
              </c:ext>
            </c:extLst>
          </c:dPt>
          <c:dPt>
            <c:idx val="6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4C2E-4A2F-BE9A-373FF84C53C4}"/>
              </c:ext>
            </c:extLst>
          </c:dPt>
          <c:dPt>
            <c:idx val="6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D-4C2E-4A2F-BE9A-373FF84C53C4}"/>
              </c:ext>
            </c:extLst>
          </c:dPt>
          <c:dPt>
            <c:idx val="6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4C2E-4A2F-BE9A-373FF84C53C4}"/>
              </c:ext>
            </c:extLst>
          </c:dPt>
          <c:dPt>
            <c:idx val="6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4C2E-4A2F-BE9A-373FF84C53C4}"/>
              </c:ext>
            </c:extLst>
          </c:dPt>
          <c:dPt>
            <c:idx val="6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4C2E-4A2F-BE9A-373FF84C53C4}"/>
              </c:ext>
            </c:extLst>
          </c:dPt>
          <c:dPt>
            <c:idx val="6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4C2E-4A2F-BE9A-373FF84C53C4}"/>
              </c:ext>
            </c:extLst>
          </c:dPt>
          <c:dPt>
            <c:idx val="6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4C2E-4A2F-BE9A-373FF84C53C4}"/>
              </c:ext>
            </c:extLst>
          </c:dPt>
          <c:dPt>
            <c:idx val="7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4C2E-4A2F-BE9A-373FF84C53C4}"/>
              </c:ext>
            </c:extLst>
          </c:dPt>
          <c:dPt>
            <c:idx val="7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4C2E-4A2F-BE9A-373FF84C53C4}"/>
              </c:ext>
            </c:extLst>
          </c:dPt>
          <c:dPt>
            <c:idx val="7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4C2E-4A2F-BE9A-373FF84C53C4}"/>
              </c:ext>
            </c:extLst>
          </c:dPt>
          <c:dPt>
            <c:idx val="7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4C2E-4A2F-BE9A-373FF84C53C4}"/>
              </c:ext>
            </c:extLst>
          </c:dPt>
          <c:dPt>
            <c:idx val="7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4C2E-4A2F-BE9A-373FF84C53C4}"/>
              </c:ext>
            </c:extLst>
          </c:dPt>
          <c:dPt>
            <c:idx val="7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8-4C2E-4A2F-BE9A-373FF84C53C4}"/>
              </c:ext>
            </c:extLst>
          </c:dPt>
          <c:dPt>
            <c:idx val="7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9-4C2E-4A2F-BE9A-373FF84C53C4}"/>
              </c:ext>
            </c:extLst>
          </c:dPt>
          <c:dPt>
            <c:idx val="7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4C2E-4A2F-BE9A-373FF84C53C4}"/>
              </c:ext>
            </c:extLst>
          </c:dPt>
          <c:dPt>
            <c:idx val="7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4C2E-4A2F-BE9A-373FF84C53C4}"/>
              </c:ext>
            </c:extLst>
          </c:dPt>
          <c:dPt>
            <c:idx val="8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C-4C2E-4A2F-BE9A-373FF84C53C4}"/>
              </c:ext>
            </c:extLst>
          </c:dPt>
          <c:dPt>
            <c:idx val="8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D-4C2E-4A2F-BE9A-373FF84C53C4}"/>
              </c:ext>
            </c:extLst>
          </c:dPt>
          <c:dPt>
            <c:idx val="8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4C2E-4A2F-BE9A-373FF84C53C4}"/>
              </c:ext>
            </c:extLst>
          </c:dPt>
          <c:dPt>
            <c:idx val="8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4C2E-4A2F-BE9A-373FF84C53C4}"/>
              </c:ext>
            </c:extLst>
          </c:dPt>
          <c:dPt>
            <c:idx val="8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0-4C2E-4A2F-BE9A-373FF84C53C4}"/>
              </c:ext>
            </c:extLst>
          </c:dPt>
          <c:dPt>
            <c:idx val="8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1-4C2E-4A2F-BE9A-373FF84C53C4}"/>
              </c:ext>
            </c:extLst>
          </c:dPt>
          <c:dPt>
            <c:idx val="8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2-4C2E-4A2F-BE9A-373FF84C53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'Global(계약시점)'!$K$41:$CT$41</c:f>
              <c:numCache>
                <c:formatCode>General</c:formatCode>
                <c:ptCount val="8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2026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2027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2028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2029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2030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</c:numCache>
            </c:numRef>
          </c:cat>
          <c:val>
            <c:numRef>
              <c:f>'Global(계약시점)'!$K$46:$CT$46</c:f>
              <c:numCache>
                <c:formatCode>[$$]#,##0</c:formatCode>
                <c:ptCount val="88"/>
                <c:pt idx="3">
                  <c:v>195</c:v>
                </c:pt>
                <c:pt idx="4">
                  <c:v>195</c:v>
                </c:pt>
                <c:pt idx="5">
                  <c:v>195</c:v>
                </c:pt>
                <c:pt idx="6">
                  <c:v>1233.0833333333333</c:v>
                </c:pt>
                <c:pt idx="7">
                  <c:v>5442.4166666666661</c:v>
                </c:pt>
                <c:pt idx="8">
                  <c:v>8372.8333333333321</c:v>
                </c:pt>
                <c:pt idx="9">
                  <c:v>52192.833333333336</c:v>
                </c:pt>
                <c:pt idx="10">
                  <c:v>9445.3333333333321</c:v>
                </c:pt>
                <c:pt idx="11">
                  <c:v>9445.3333333333321</c:v>
                </c:pt>
                <c:pt idx="12">
                  <c:v>9445.3333333333321</c:v>
                </c:pt>
                <c:pt idx="13">
                  <c:v>10641.999999999998</c:v>
                </c:pt>
                <c:pt idx="14">
                  <c:v>10641.999999999998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4889.1333333333332</c:v>
                </c:pt>
                <c:pt idx="21">
                  <c:v>5235.6333333333332</c:v>
                </c:pt>
                <c:pt idx="22">
                  <c:v>5606.8833333333332</c:v>
                </c:pt>
                <c:pt idx="23">
                  <c:v>6629.458333333333</c:v>
                </c:pt>
                <c:pt idx="24">
                  <c:v>6629.458333333333</c:v>
                </c:pt>
                <c:pt idx="25">
                  <c:v>8515.4583333333321</c:v>
                </c:pt>
                <c:pt idx="26">
                  <c:v>12479.258333333331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3333</c:v>
                </c:pt>
                <c:pt idx="31">
                  <c:v>3333</c:v>
                </c:pt>
                <c:pt idx="32">
                  <c:v>3333</c:v>
                </c:pt>
                <c:pt idx="33">
                  <c:v>13333</c:v>
                </c:pt>
                <c:pt idx="34">
                  <c:v>13333</c:v>
                </c:pt>
                <c:pt idx="35">
                  <c:v>23333</c:v>
                </c:pt>
                <c:pt idx="36">
                  <c:v>23333</c:v>
                </c:pt>
                <c:pt idx="37">
                  <c:v>23333</c:v>
                </c:pt>
                <c:pt idx="38">
                  <c:v>33333</c:v>
                </c:pt>
                <c:pt idx="39">
                  <c:v>33333</c:v>
                </c:pt>
                <c:pt idx="40">
                  <c:v>0</c:v>
                </c:pt>
                <c:pt idx="41">
                  <c:v>4167</c:v>
                </c:pt>
                <c:pt idx="42">
                  <c:v>4167</c:v>
                </c:pt>
                <c:pt idx="43">
                  <c:v>4167</c:v>
                </c:pt>
                <c:pt idx="44">
                  <c:v>16667</c:v>
                </c:pt>
                <c:pt idx="45">
                  <c:v>16667</c:v>
                </c:pt>
                <c:pt idx="46">
                  <c:v>16667</c:v>
                </c:pt>
                <c:pt idx="47">
                  <c:v>16667</c:v>
                </c:pt>
                <c:pt idx="48">
                  <c:v>29167</c:v>
                </c:pt>
                <c:pt idx="49">
                  <c:v>29167</c:v>
                </c:pt>
                <c:pt idx="50">
                  <c:v>29167</c:v>
                </c:pt>
                <c:pt idx="51">
                  <c:v>41667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4C2E-4A2F-BE9A-373FF84C5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2910"/>
        <c:axId val="237585306"/>
      </c:barChart>
      <c:catAx>
        <c:axId val="40352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37585306"/>
        <c:crosses val="autoZero"/>
        <c:auto val="1"/>
        <c:lblAlgn val="ctr"/>
        <c:lblOffset val="100"/>
        <c:noMultiLvlLbl val="1"/>
      </c:catAx>
      <c:valAx>
        <c:axId val="237585306"/>
        <c:scaling>
          <c:orientation val="minMax"/>
          <c:max val="3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03529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MRR 추이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'Global(계약시점)'!$J$42</c:f>
              <c:strCache>
                <c:ptCount val="1"/>
                <c:pt idx="0">
                  <c:v>기존 License ($)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82B-4AC2-8BFC-51ADF28E948A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382B-4AC2-8BFC-51ADF28E948A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82B-4AC2-8BFC-51ADF28E948A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382B-4AC2-8BFC-51ADF28E948A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382B-4AC2-8BFC-51ADF28E948A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382B-4AC2-8BFC-51ADF28E948A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382B-4AC2-8BFC-51ADF28E948A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382B-4AC2-8BFC-51ADF28E948A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382B-4AC2-8BFC-51ADF28E948A}"/>
              </c:ext>
            </c:extLst>
          </c:dPt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382B-4AC2-8BFC-51ADF28E948A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382B-4AC2-8BFC-51ADF28E948A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382B-4AC2-8BFC-51ADF28E948A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382B-4AC2-8BFC-51ADF28E948A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382B-4AC2-8BFC-51ADF28E948A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382B-4AC2-8BFC-51ADF28E948A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382B-4AC2-8BFC-51ADF28E948A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382B-4AC2-8BFC-51ADF28E948A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382B-4AC2-8BFC-51ADF28E948A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382B-4AC2-8BFC-51ADF28E948A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382B-4AC2-8BFC-51ADF28E948A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382B-4AC2-8BFC-51ADF28E948A}"/>
              </c:ext>
            </c:extLst>
          </c:dPt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382B-4AC2-8BFC-51ADF28E948A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382B-4AC2-8BFC-51ADF28E948A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382B-4AC2-8BFC-51ADF28E948A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382B-4AC2-8BFC-51ADF28E948A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382B-4AC2-8BFC-51ADF28E948A}"/>
              </c:ext>
            </c:extLst>
          </c:dPt>
          <c:dPt>
            <c:idx val="2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382B-4AC2-8BFC-51ADF28E948A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382B-4AC2-8BFC-51ADF28E948A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382B-4AC2-8BFC-51ADF28E948A}"/>
              </c:ext>
            </c:extLst>
          </c:dPt>
          <c:dPt>
            <c:idx val="3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382B-4AC2-8BFC-51ADF28E948A}"/>
              </c:ext>
            </c:extLst>
          </c:dPt>
          <c:dPt>
            <c:idx val="3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382B-4AC2-8BFC-51ADF28E948A}"/>
              </c:ext>
            </c:extLst>
          </c:dPt>
          <c:dPt>
            <c:idx val="3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382B-4AC2-8BFC-51ADF28E948A}"/>
              </c:ext>
            </c:extLst>
          </c:dPt>
          <c:dPt>
            <c:idx val="3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382B-4AC2-8BFC-51ADF28E948A}"/>
              </c:ext>
            </c:extLst>
          </c:dPt>
          <c:dPt>
            <c:idx val="3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382B-4AC2-8BFC-51ADF28E948A}"/>
              </c:ext>
            </c:extLst>
          </c:dPt>
          <c:dPt>
            <c:idx val="3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382B-4AC2-8BFC-51ADF28E948A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382B-4AC2-8BFC-51ADF28E948A}"/>
              </c:ext>
            </c:extLst>
          </c:dPt>
          <c:dPt>
            <c:idx val="3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382B-4AC2-8BFC-51ADF28E948A}"/>
              </c:ext>
            </c:extLst>
          </c:dPt>
          <c:dPt>
            <c:idx val="3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382B-4AC2-8BFC-51ADF28E948A}"/>
              </c:ext>
            </c:extLst>
          </c:dPt>
          <c:dPt>
            <c:idx val="3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382B-4AC2-8BFC-51ADF28E948A}"/>
              </c:ext>
            </c:extLst>
          </c:dPt>
          <c:dPt>
            <c:idx val="4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382B-4AC2-8BFC-51ADF28E948A}"/>
              </c:ext>
            </c:extLst>
          </c:dPt>
          <c:dPt>
            <c:idx val="4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382B-4AC2-8BFC-51ADF28E948A}"/>
              </c:ext>
            </c:extLst>
          </c:dPt>
          <c:dPt>
            <c:idx val="4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382B-4AC2-8BFC-51ADF28E948A}"/>
              </c:ext>
            </c:extLst>
          </c:dPt>
          <c:dPt>
            <c:idx val="4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382B-4AC2-8BFC-51ADF28E948A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382B-4AC2-8BFC-51ADF28E948A}"/>
              </c:ext>
            </c:extLst>
          </c:dPt>
          <c:dPt>
            <c:idx val="4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382B-4AC2-8BFC-51ADF28E948A}"/>
              </c:ext>
            </c:extLst>
          </c:dPt>
          <c:dPt>
            <c:idx val="4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382B-4AC2-8BFC-51ADF28E948A}"/>
              </c:ext>
            </c:extLst>
          </c:dPt>
          <c:dPt>
            <c:idx val="4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E-382B-4AC2-8BFC-51ADF28E948A}"/>
              </c:ext>
            </c:extLst>
          </c:dPt>
          <c:dPt>
            <c:idx val="4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382B-4AC2-8BFC-51ADF28E948A}"/>
              </c:ext>
            </c:extLst>
          </c:dPt>
          <c:dPt>
            <c:idx val="4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382B-4AC2-8BFC-51ADF28E948A}"/>
              </c:ext>
            </c:extLst>
          </c:dPt>
          <c:dPt>
            <c:idx val="5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382B-4AC2-8BFC-51ADF28E948A}"/>
              </c:ext>
            </c:extLst>
          </c:dPt>
          <c:dPt>
            <c:idx val="5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382B-4AC2-8BFC-51ADF28E948A}"/>
              </c:ext>
            </c:extLst>
          </c:dPt>
          <c:dPt>
            <c:idx val="5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382B-4AC2-8BFC-51ADF28E948A}"/>
              </c:ext>
            </c:extLst>
          </c:dPt>
          <c:dPt>
            <c:idx val="5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382B-4AC2-8BFC-51ADF28E948A}"/>
              </c:ext>
            </c:extLst>
          </c:dPt>
          <c:dPt>
            <c:idx val="5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382B-4AC2-8BFC-51ADF28E948A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382B-4AC2-8BFC-51ADF28E948A}"/>
              </c:ext>
            </c:extLst>
          </c:dPt>
          <c:dPt>
            <c:idx val="5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382B-4AC2-8BFC-51ADF28E948A}"/>
              </c:ext>
            </c:extLst>
          </c:dPt>
          <c:dPt>
            <c:idx val="5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382B-4AC2-8BFC-51ADF28E948A}"/>
              </c:ext>
            </c:extLst>
          </c:dPt>
          <c:dPt>
            <c:idx val="5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382B-4AC2-8BFC-51ADF28E948A}"/>
              </c:ext>
            </c:extLst>
          </c:dPt>
          <c:dPt>
            <c:idx val="6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382B-4AC2-8BFC-51ADF28E948A}"/>
              </c:ext>
            </c:extLst>
          </c:dPt>
          <c:dPt>
            <c:idx val="6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382B-4AC2-8BFC-51ADF28E948A}"/>
              </c:ext>
            </c:extLst>
          </c:dPt>
          <c:dPt>
            <c:idx val="6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382B-4AC2-8BFC-51ADF28E948A}"/>
              </c:ext>
            </c:extLst>
          </c:dPt>
          <c:dPt>
            <c:idx val="6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D-382B-4AC2-8BFC-51ADF28E948A}"/>
              </c:ext>
            </c:extLst>
          </c:dPt>
          <c:dPt>
            <c:idx val="6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382B-4AC2-8BFC-51ADF28E948A}"/>
              </c:ext>
            </c:extLst>
          </c:dPt>
          <c:dPt>
            <c:idx val="6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382B-4AC2-8BFC-51ADF28E948A}"/>
              </c:ext>
            </c:extLst>
          </c:dPt>
          <c:dPt>
            <c:idx val="6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382B-4AC2-8BFC-51ADF28E948A}"/>
              </c:ext>
            </c:extLst>
          </c:dPt>
          <c:dPt>
            <c:idx val="6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382B-4AC2-8BFC-51ADF28E948A}"/>
              </c:ext>
            </c:extLst>
          </c:dPt>
          <c:dPt>
            <c:idx val="6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382B-4AC2-8BFC-51ADF28E948A}"/>
              </c:ext>
            </c:extLst>
          </c:dPt>
          <c:dPt>
            <c:idx val="7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382B-4AC2-8BFC-51ADF28E948A}"/>
              </c:ext>
            </c:extLst>
          </c:dPt>
          <c:dPt>
            <c:idx val="7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382B-4AC2-8BFC-51ADF28E948A}"/>
              </c:ext>
            </c:extLst>
          </c:dPt>
          <c:dPt>
            <c:idx val="7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382B-4AC2-8BFC-51ADF28E948A}"/>
              </c:ext>
            </c:extLst>
          </c:dPt>
          <c:dPt>
            <c:idx val="7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382B-4AC2-8BFC-51ADF28E948A}"/>
              </c:ext>
            </c:extLst>
          </c:dPt>
          <c:dPt>
            <c:idx val="7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382B-4AC2-8BFC-51ADF28E948A}"/>
              </c:ext>
            </c:extLst>
          </c:dPt>
          <c:dPt>
            <c:idx val="7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8-382B-4AC2-8BFC-51ADF28E948A}"/>
              </c:ext>
            </c:extLst>
          </c:dPt>
          <c:dPt>
            <c:idx val="7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9-382B-4AC2-8BFC-51ADF28E948A}"/>
              </c:ext>
            </c:extLst>
          </c:dPt>
          <c:dPt>
            <c:idx val="7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382B-4AC2-8BFC-51ADF28E948A}"/>
              </c:ext>
            </c:extLst>
          </c:dPt>
          <c:dPt>
            <c:idx val="7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382B-4AC2-8BFC-51ADF28E948A}"/>
              </c:ext>
            </c:extLst>
          </c:dPt>
          <c:dPt>
            <c:idx val="8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C-382B-4AC2-8BFC-51ADF28E948A}"/>
              </c:ext>
            </c:extLst>
          </c:dPt>
          <c:dPt>
            <c:idx val="8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D-382B-4AC2-8BFC-51ADF28E948A}"/>
              </c:ext>
            </c:extLst>
          </c:dPt>
          <c:dPt>
            <c:idx val="8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382B-4AC2-8BFC-51ADF28E948A}"/>
              </c:ext>
            </c:extLst>
          </c:dPt>
          <c:dPt>
            <c:idx val="8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382B-4AC2-8BFC-51ADF28E948A}"/>
              </c:ext>
            </c:extLst>
          </c:dPt>
          <c:dPt>
            <c:idx val="8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0-382B-4AC2-8BFC-51ADF28E948A}"/>
              </c:ext>
            </c:extLst>
          </c:dPt>
          <c:dPt>
            <c:idx val="8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1-382B-4AC2-8BFC-51ADF28E948A}"/>
              </c:ext>
            </c:extLst>
          </c:dPt>
          <c:dPt>
            <c:idx val="8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2-382B-4AC2-8BFC-51ADF28E94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'Global(계약시점)'!$K$41:$AH$41</c:f>
              <c:numCache>
                <c:formatCode>General</c:formatCode>
                <c:ptCount val="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</c:numCache>
            </c:numRef>
          </c:cat>
          <c:val>
            <c:numRef>
              <c:f>'Global(계약시점)'!$K$42:$AH$42</c:f>
              <c:numCache>
                <c:formatCode>[$$]#,##0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382B-4AC2-8BFC-51ADF28E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04428"/>
        <c:axId val="315232135"/>
      </c:barChart>
      <c:lineChart>
        <c:grouping val="standard"/>
        <c:varyColors val="0"/>
        <c:ser>
          <c:idx val="1"/>
          <c:order val="1"/>
          <c:tx>
            <c:strRef>
              <c:f>'Global(계약시점)'!$J$43</c:f>
              <c:strCache>
                <c:ptCount val="1"/>
                <c:pt idx="0">
                  <c:v>기존 MRR ($)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54-382B-4AC2-8BFC-51ADF28E94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55-382B-4AC2-8BFC-51ADF28E948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56-382B-4AC2-8BFC-51ADF28E948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57-382B-4AC2-8BFC-51ADF28E948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58-382B-4AC2-8BFC-51ADF28E948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59-382B-4AC2-8BFC-51ADF28E948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5A-382B-4AC2-8BFC-51ADF28E948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5B-382B-4AC2-8BFC-51ADF28E948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5C-382B-4AC2-8BFC-51ADF28E948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5D-382B-4AC2-8BFC-51ADF28E948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5E-382B-4AC2-8BFC-51ADF28E948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5F-382B-4AC2-8BFC-51ADF28E948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60-382B-4AC2-8BFC-51ADF28E948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61-382B-4AC2-8BFC-51ADF28E948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62-382B-4AC2-8BFC-51ADF28E948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63-382B-4AC2-8BFC-51ADF28E948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64-382B-4AC2-8BFC-51ADF28E948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65-382B-4AC2-8BFC-51ADF28E948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66-382B-4AC2-8BFC-51ADF28E948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67-382B-4AC2-8BFC-51ADF28E948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68-382B-4AC2-8BFC-51ADF28E948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69-382B-4AC2-8BFC-51ADF28E948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6A-382B-4AC2-8BFC-51ADF28E948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6B-382B-4AC2-8BFC-51ADF28E948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6C-382B-4AC2-8BFC-51ADF28E948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6D-382B-4AC2-8BFC-51ADF28E948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6E-382B-4AC2-8BFC-51ADF28E948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6F-382B-4AC2-8BFC-51ADF28E948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70-382B-4AC2-8BFC-51ADF28E948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71-382B-4AC2-8BFC-51ADF28E948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72-382B-4AC2-8BFC-51ADF28E948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73-382B-4AC2-8BFC-51ADF28E948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74-382B-4AC2-8BFC-51ADF28E948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75-382B-4AC2-8BFC-51ADF28E948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76-382B-4AC2-8BFC-51ADF28E948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77-382B-4AC2-8BFC-51ADF28E948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78-382B-4AC2-8BFC-51ADF28E948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79-382B-4AC2-8BFC-51ADF28E948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7A-382B-4AC2-8BFC-51ADF28E948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7B-382B-4AC2-8BFC-51ADF28E948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7C-382B-4AC2-8BFC-51ADF28E948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7D-382B-4AC2-8BFC-51ADF28E948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7E-382B-4AC2-8BFC-51ADF28E948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7F-382B-4AC2-8BFC-51ADF28E948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80-382B-4AC2-8BFC-51ADF28E948A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81-382B-4AC2-8BFC-51ADF28E948A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82-382B-4AC2-8BFC-51ADF28E948A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83-382B-4AC2-8BFC-51ADF28E948A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84-382B-4AC2-8BFC-51ADF28E948A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85-382B-4AC2-8BFC-51ADF28E948A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86-382B-4AC2-8BFC-51ADF28E948A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87-382B-4AC2-8BFC-51ADF28E948A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88-382B-4AC2-8BFC-51ADF28E948A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89-382B-4AC2-8BFC-51ADF28E948A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8A-382B-4AC2-8BFC-51ADF28E948A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8B-382B-4AC2-8BFC-51ADF28E948A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8C-382B-4AC2-8BFC-51ADF28E948A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8D-382B-4AC2-8BFC-51ADF28E948A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8E-382B-4AC2-8BFC-51ADF28E948A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8F-382B-4AC2-8BFC-51ADF28E948A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90-382B-4AC2-8BFC-51ADF28E948A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91-382B-4AC2-8BFC-51ADF28E948A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92-382B-4AC2-8BFC-51ADF28E948A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93-382B-4AC2-8BFC-51ADF28E948A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94-382B-4AC2-8BFC-51ADF28E948A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95-382B-4AC2-8BFC-51ADF28E948A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96-382B-4AC2-8BFC-51ADF28E948A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97-382B-4AC2-8BFC-51ADF28E948A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98-382B-4AC2-8BFC-51ADF28E948A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99-382B-4AC2-8BFC-51ADF28E948A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9A-382B-4AC2-8BFC-51ADF28E948A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9B-382B-4AC2-8BFC-51ADF28E948A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9C-382B-4AC2-8BFC-51ADF28E948A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9D-382B-4AC2-8BFC-51ADF28E948A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9E-382B-4AC2-8BFC-51ADF28E948A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9F-382B-4AC2-8BFC-51ADF28E948A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A0-382B-4AC2-8BFC-51ADF28E948A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A1-382B-4AC2-8BFC-51ADF28E94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'Global(계약시점)'!$K$41:$AH$41</c:f>
              <c:numCache>
                <c:formatCode>General</c:formatCode>
                <c:ptCount val="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</c:numCache>
            </c:numRef>
          </c:cat>
          <c:val>
            <c:numRef>
              <c:f>'Global(계약시점)'!$K$43:$AH$43</c:f>
              <c:numCache>
                <c:formatCode>[$$]#,##0</c:formatCode>
                <c:ptCount val="24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10446.999999999998</c:v>
                </c:pt>
                <c:pt idx="16">
                  <c:v>10446.999999999998</c:v>
                </c:pt>
                <c:pt idx="17">
                  <c:v>10446.999999999998</c:v>
                </c:pt>
                <c:pt idx="18">
                  <c:v>10446.999999999998</c:v>
                </c:pt>
                <c:pt idx="19">
                  <c:v>6237.666666666667</c:v>
                </c:pt>
                <c:pt idx="20">
                  <c:v>6237.666666666667</c:v>
                </c:pt>
                <c:pt idx="21">
                  <c:v>6237.666666666667</c:v>
                </c:pt>
                <c:pt idx="22">
                  <c:v>6237.666666666667</c:v>
                </c:pt>
                <c:pt idx="23">
                  <c:v>6237.666666666667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82B-4AC2-8BFC-51ADF28E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04428"/>
        <c:axId val="315232135"/>
      </c:lineChart>
      <c:catAx>
        <c:axId val="122504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15232135"/>
        <c:crosses val="autoZero"/>
        <c:auto val="1"/>
        <c:lblAlgn val="ctr"/>
        <c:lblOffset val="100"/>
        <c:noMultiLvlLbl val="1"/>
      </c:catAx>
      <c:valAx>
        <c:axId val="315232135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25044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ARR 추이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'Global(계약시점)'!$J$46</c:f>
              <c:strCache>
                <c:ptCount val="1"/>
                <c:pt idx="0">
                  <c:v>신규 MRR($)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B9B-4FD3-8A2D-037E80C07EEA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B9B-4FD3-8A2D-037E80C07EEA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B9B-4FD3-8A2D-037E80C07EEA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B9B-4FD3-8A2D-037E80C07EEA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B9B-4FD3-8A2D-037E80C07EEA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DB9B-4FD3-8A2D-037E80C07EEA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DB9B-4FD3-8A2D-037E80C07EEA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DB9B-4FD3-8A2D-037E80C07EEA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DB9B-4FD3-8A2D-037E80C07EEA}"/>
              </c:ext>
            </c:extLst>
          </c:dPt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DB9B-4FD3-8A2D-037E80C07EEA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DB9B-4FD3-8A2D-037E80C07EEA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DB9B-4FD3-8A2D-037E80C07EEA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DB9B-4FD3-8A2D-037E80C07EEA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DB9B-4FD3-8A2D-037E80C07EEA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DB9B-4FD3-8A2D-037E80C07EEA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DB9B-4FD3-8A2D-037E80C07EEA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DB9B-4FD3-8A2D-037E80C07EEA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DB9B-4FD3-8A2D-037E80C07EEA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DB9B-4FD3-8A2D-037E80C07EEA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DB9B-4FD3-8A2D-037E80C07EEA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DB9B-4FD3-8A2D-037E80C07EEA}"/>
              </c:ext>
            </c:extLst>
          </c:dPt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DB9B-4FD3-8A2D-037E80C07EEA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DB9B-4FD3-8A2D-037E80C07EEA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DB9B-4FD3-8A2D-037E80C07EEA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DB9B-4FD3-8A2D-037E80C07EEA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DB9B-4FD3-8A2D-037E80C07EEA}"/>
              </c:ext>
            </c:extLst>
          </c:dPt>
          <c:dPt>
            <c:idx val="2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DB9B-4FD3-8A2D-037E80C07EEA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DB9B-4FD3-8A2D-037E80C07EEA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DB9B-4FD3-8A2D-037E80C07EEA}"/>
              </c:ext>
            </c:extLst>
          </c:dPt>
          <c:dPt>
            <c:idx val="3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DB9B-4FD3-8A2D-037E80C07EEA}"/>
              </c:ext>
            </c:extLst>
          </c:dPt>
          <c:dPt>
            <c:idx val="3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DB9B-4FD3-8A2D-037E80C07EEA}"/>
              </c:ext>
            </c:extLst>
          </c:dPt>
          <c:dPt>
            <c:idx val="3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DB9B-4FD3-8A2D-037E80C07EEA}"/>
              </c:ext>
            </c:extLst>
          </c:dPt>
          <c:dPt>
            <c:idx val="3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DB9B-4FD3-8A2D-037E80C07EEA}"/>
              </c:ext>
            </c:extLst>
          </c:dPt>
          <c:dPt>
            <c:idx val="3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DB9B-4FD3-8A2D-037E80C07EEA}"/>
              </c:ext>
            </c:extLst>
          </c:dPt>
          <c:dPt>
            <c:idx val="3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DB9B-4FD3-8A2D-037E80C07EEA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DB9B-4FD3-8A2D-037E80C07EEA}"/>
              </c:ext>
            </c:extLst>
          </c:dPt>
          <c:dPt>
            <c:idx val="3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DB9B-4FD3-8A2D-037E80C07EEA}"/>
              </c:ext>
            </c:extLst>
          </c:dPt>
          <c:dPt>
            <c:idx val="3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DB9B-4FD3-8A2D-037E80C07EEA}"/>
              </c:ext>
            </c:extLst>
          </c:dPt>
          <c:dPt>
            <c:idx val="3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DB9B-4FD3-8A2D-037E80C07EEA}"/>
              </c:ext>
            </c:extLst>
          </c:dPt>
          <c:dPt>
            <c:idx val="4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DB9B-4FD3-8A2D-037E80C07EEA}"/>
              </c:ext>
            </c:extLst>
          </c:dPt>
          <c:dPt>
            <c:idx val="4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DB9B-4FD3-8A2D-037E80C07EEA}"/>
              </c:ext>
            </c:extLst>
          </c:dPt>
          <c:dPt>
            <c:idx val="4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DB9B-4FD3-8A2D-037E80C07EEA}"/>
              </c:ext>
            </c:extLst>
          </c:dPt>
          <c:dPt>
            <c:idx val="4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DB9B-4FD3-8A2D-037E80C07EEA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DB9B-4FD3-8A2D-037E80C07EEA}"/>
              </c:ext>
            </c:extLst>
          </c:dPt>
          <c:dPt>
            <c:idx val="4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DB9B-4FD3-8A2D-037E80C07EEA}"/>
              </c:ext>
            </c:extLst>
          </c:dPt>
          <c:dPt>
            <c:idx val="4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DB9B-4FD3-8A2D-037E80C07EEA}"/>
              </c:ext>
            </c:extLst>
          </c:dPt>
          <c:dPt>
            <c:idx val="4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E-DB9B-4FD3-8A2D-037E80C07EEA}"/>
              </c:ext>
            </c:extLst>
          </c:dPt>
          <c:dPt>
            <c:idx val="4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DB9B-4FD3-8A2D-037E80C07EEA}"/>
              </c:ext>
            </c:extLst>
          </c:dPt>
          <c:dPt>
            <c:idx val="4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DB9B-4FD3-8A2D-037E80C07EEA}"/>
              </c:ext>
            </c:extLst>
          </c:dPt>
          <c:dPt>
            <c:idx val="5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DB9B-4FD3-8A2D-037E80C07EEA}"/>
              </c:ext>
            </c:extLst>
          </c:dPt>
          <c:dPt>
            <c:idx val="5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DB9B-4FD3-8A2D-037E80C07EEA}"/>
              </c:ext>
            </c:extLst>
          </c:dPt>
          <c:dPt>
            <c:idx val="5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DB9B-4FD3-8A2D-037E80C07EEA}"/>
              </c:ext>
            </c:extLst>
          </c:dPt>
          <c:dPt>
            <c:idx val="5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DB9B-4FD3-8A2D-037E80C07EEA}"/>
              </c:ext>
            </c:extLst>
          </c:dPt>
          <c:dPt>
            <c:idx val="5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DB9B-4FD3-8A2D-037E80C07EEA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DB9B-4FD3-8A2D-037E80C07EEA}"/>
              </c:ext>
            </c:extLst>
          </c:dPt>
          <c:dPt>
            <c:idx val="5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DB9B-4FD3-8A2D-037E80C07EEA}"/>
              </c:ext>
            </c:extLst>
          </c:dPt>
          <c:dPt>
            <c:idx val="5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DB9B-4FD3-8A2D-037E80C07EEA}"/>
              </c:ext>
            </c:extLst>
          </c:dPt>
          <c:dPt>
            <c:idx val="5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DB9B-4FD3-8A2D-037E80C07EEA}"/>
              </c:ext>
            </c:extLst>
          </c:dPt>
          <c:dPt>
            <c:idx val="6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DB9B-4FD3-8A2D-037E80C07EEA}"/>
              </c:ext>
            </c:extLst>
          </c:dPt>
          <c:dPt>
            <c:idx val="6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DB9B-4FD3-8A2D-037E80C07EEA}"/>
              </c:ext>
            </c:extLst>
          </c:dPt>
          <c:dPt>
            <c:idx val="6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DB9B-4FD3-8A2D-037E80C07EEA}"/>
              </c:ext>
            </c:extLst>
          </c:dPt>
          <c:dPt>
            <c:idx val="6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D-DB9B-4FD3-8A2D-037E80C07EEA}"/>
              </c:ext>
            </c:extLst>
          </c:dPt>
          <c:dPt>
            <c:idx val="6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DB9B-4FD3-8A2D-037E80C07EEA}"/>
              </c:ext>
            </c:extLst>
          </c:dPt>
          <c:dPt>
            <c:idx val="6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DB9B-4FD3-8A2D-037E80C07EEA}"/>
              </c:ext>
            </c:extLst>
          </c:dPt>
          <c:dPt>
            <c:idx val="6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DB9B-4FD3-8A2D-037E80C07EEA}"/>
              </c:ext>
            </c:extLst>
          </c:dPt>
          <c:dPt>
            <c:idx val="6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DB9B-4FD3-8A2D-037E80C07EEA}"/>
              </c:ext>
            </c:extLst>
          </c:dPt>
          <c:dPt>
            <c:idx val="6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DB9B-4FD3-8A2D-037E80C07EEA}"/>
              </c:ext>
            </c:extLst>
          </c:dPt>
          <c:dPt>
            <c:idx val="7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DB9B-4FD3-8A2D-037E80C07EEA}"/>
              </c:ext>
            </c:extLst>
          </c:dPt>
          <c:dPt>
            <c:idx val="7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DB9B-4FD3-8A2D-037E80C07EEA}"/>
              </c:ext>
            </c:extLst>
          </c:dPt>
          <c:dPt>
            <c:idx val="7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DB9B-4FD3-8A2D-037E80C07EEA}"/>
              </c:ext>
            </c:extLst>
          </c:dPt>
          <c:dPt>
            <c:idx val="7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DB9B-4FD3-8A2D-037E80C07EEA}"/>
              </c:ext>
            </c:extLst>
          </c:dPt>
          <c:dPt>
            <c:idx val="7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DB9B-4FD3-8A2D-037E80C07EEA}"/>
              </c:ext>
            </c:extLst>
          </c:dPt>
          <c:dPt>
            <c:idx val="7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8-DB9B-4FD3-8A2D-037E80C07EEA}"/>
              </c:ext>
            </c:extLst>
          </c:dPt>
          <c:dPt>
            <c:idx val="7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9-DB9B-4FD3-8A2D-037E80C07EEA}"/>
              </c:ext>
            </c:extLst>
          </c:dPt>
          <c:dPt>
            <c:idx val="7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DB9B-4FD3-8A2D-037E80C07EEA}"/>
              </c:ext>
            </c:extLst>
          </c:dPt>
          <c:dPt>
            <c:idx val="7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DB9B-4FD3-8A2D-037E80C07EEA}"/>
              </c:ext>
            </c:extLst>
          </c:dPt>
          <c:dPt>
            <c:idx val="8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C-DB9B-4FD3-8A2D-037E80C07EEA}"/>
              </c:ext>
            </c:extLst>
          </c:dPt>
          <c:dPt>
            <c:idx val="8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D-DB9B-4FD3-8A2D-037E80C07EEA}"/>
              </c:ext>
            </c:extLst>
          </c:dPt>
          <c:dPt>
            <c:idx val="8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DB9B-4FD3-8A2D-037E80C07EEA}"/>
              </c:ext>
            </c:extLst>
          </c:dPt>
          <c:dPt>
            <c:idx val="8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DB9B-4FD3-8A2D-037E80C07EEA}"/>
              </c:ext>
            </c:extLst>
          </c:dPt>
          <c:dPt>
            <c:idx val="8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0-DB9B-4FD3-8A2D-037E80C07EEA}"/>
              </c:ext>
            </c:extLst>
          </c:dPt>
          <c:dPt>
            <c:idx val="8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1-DB9B-4FD3-8A2D-037E80C07EEA}"/>
              </c:ext>
            </c:extLst>
          </c:dPt>
          <c:dPt>
            <c:idx val="8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2-DB9B-4FD3-8A2D-037E80C07E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'Global(계약시점)'!$K$41:$AH$41</c:f>
              <c:numCache>
                <c:formatCode>General</c:formatCode>
                <c:ptCount val="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2024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2025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</c:numCache>
            </c:numRef>
          </c:cat>
          <c:val>
            <c:numRef>
              <c:f>'Global(계약시점)'!$K$46:$AH$46</c:f>
              <c:numCache>
                <c:formatCode>[$$]#,##0</c:formatCode>
                <c:ptCount val="24"/>
                <c:pt idx="3">
                  <c:v>195</c:v>
                </c:pt>
                <c:pt idx="4">
                  <c:v>195</c:v>
                </c:pt>
                <c:pt idx="5">
                  <c:v>195</c:v>
                </c:pt>
                <c:pt idx="6">
                  <c:v>1233.0833333333333</c:v>
                </c:pt>
                <c:pt idx="7">
                  <c:v>5442.4166666666661</c:v>
                </c:pt>
                <c:pt idx="8">
                  <c:v>8372.8333333333321</c:v>
                </c:pt>
                <c:pt idx="9">
                  <c:v>52192.833333333336</c:v>
                </c:pt>
                <c:pt idx="10">
                  <c:v>9445.3333333333321</c:v>
                </c:pt>
                <c:pt idx="11">
                  <c:v>9445.3333333333321</c:v>
                </c:pt>
                <c:pt idx="12">
                  <c:v>9445.3333333333321</c:v>
                </c:pt>
                <c:pt idx="13">
                  <c:v>10641.999999999998</c:v>
                </c:pt>
                <c:pt idx="14">
                  <c:v>10641.999999999998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4889.1333333333332</c:v>
                </c:pt>
                <c:pt idx="21">
                  <c:v>5235.6333333333332</c:v>
                </c:pt>
                <c:pt idx="22">
                  <c:v>5606.8833333333332</c:v>
                </c:pt>
                <c:pt idx="23">
                  <c:v>6629.458333333333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DB9B-4FD3-8A2D-037E80C07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228330"/>
        <c:axId val="2129042169"/>
      </c:barChart>
      <c:catAx>
        <c:axId val="1002228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9042169"/>
        <c:crosses val="autoZero"/>
        <c:auto val="1"/>
        <c:lblAlgn val="ctr"/>
        <c:lblOffset val="100"/>
        <c:noMultiLvlLbl val="1"/>
      </c:catAx>
      <c:valAx>
        <c:axId val="2129042169"/>
        <c:scaling>
          <c:orientation val="minMax"/>
          <c:max val="3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0022283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ocumenttasks/documenttask1.xml><?xml version="1.0" encoding="utf-8"?>
<Tasks xmlns="http://schemas.microsoft.com/office/tasks/2019/documenttasks">
  <Task id="{B056BE00-A790-4930-AFAA-A478C85C36BD}">
    <Anchor>
      <Comment id="{7C3D56B8-FD93-433A-89B0-934E163C6E73}"/>
    </Anchor>
    <History>
      <Event time="2025-12-10T11:48:08.0" id="{DFC592A8-3557-47C8-9ACB-2AB1CD59ECB3}">
        <Attribution userId="placeholder@email.com" userName="YOSEP PARK" userProvider="google-sheets"/>
        <Anchor>
          <Comment id="{7C3D56B8-FD93-433A-89B0-934E163C6E73}"/>
        </Anchor>
        <Create/>
      </Event>
      <Event time="2025-12-10T11:48:08.0" id="{B0AFB304-7B11-4B6C-ABF4-400A471E0312}">
        <Attribution userId="placeholder@email.com" userName="YOSEP PARK" userProvider="google-sheets"/>
        <Anchor>
          <Comment id="{7C3D56B8-FD93-433A-89B0-934E163C6E73}"/>
        </Anchor>
        <Assign userId="clarissa@whatap.io" userName="clarissa@whatap.io" userProvider="google-sheets"/>
      </Event>
    </History>
  </Task>
  <Task id="{48F4B19D-22C3-4B0C-A2ED-24936C531414}">
    <Anchor>
      <Comment id="{969EF7DB-69E8-4A8E-A26C-9ADD684D62C1}"/>
    </Anchor>
    <History>
      <Event time="2025-12-10T11:47:15.0" id="{23C2434B-7447-4BBC-99C3-99950D009893}">
        <Attribution userId="placeholder@email.com" userName="YOSEP PARK" userProvider="google-sheets"/>
        <Anchor>
          <Comment id="{969EF7DB-69E8-4A8E-A26C-9ADD684D62C1}"/>
        </Anchor>
        <Create/>
      </Event>
      <Event time="2025-12-10T11:47:15.0" id="{3F20C976-95AC-4775-BFEC-44289FB750A7}">
        <Attribution userId="placeholder@email.com" userName="YOSEP PARK" userProvider="google-sheets"/>
        <Anchor>
          <Comment id="{969EF7DB-69E8-4A8E-A26C-9ADD684D62C1}"/>
        </Anchor>
        <Assign userId="clarissa@whatap.io" userName="clarissa@whatap.io" userProvider="google-sheets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52</xdr:row>
      <xdr:rowOff>57150</xdr:rowOff>
    </xdr:from>
    <xdr:ext cx="14211300" cy="3124200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190500</xdr:colOff>
      <xdr:row>85</xdr:row>
      <xdr:rowOff>85725</xdr:rowOff>
    </xdr:from>
    <xdr:ext cx="14211300" cy="3124200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190500</xdr:colOff>
      <xdr:row>68</xdr:row>
      <xdr:rowOff>171450</xdr:rowOff>
    </xdr:from>
    <xdr:ext cx="14211300" cy="3124200"/>
    <xdr:graphicFrame macro="">
      <xdr:nvGraphicFramePr>
        <xdr:cNvPr id="4" name="Chart 3" title="차트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514350</xdr:colOff>
      <xdr:row>52</xdr:row>
      <xdr:rowOff>57150</xdr:rowOff>
    </xdr:from>
    <xdr:ext cx="6429375" cy="3124200"/>
    <xdr:graphicFrame macro="">
      <xdr:nvGraphicFramePr>
        <xdr:cNvPr id="5" name="Chart 4" title="차트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17</xdr:col>
      <xdr:colOff>514350</xdr:colOff>
      <xdr:row>68</xdr:row>
      <xdr:rowOff>171450</xdr:rowOff>
    </xdr:from>
    <xdr:ext cx="6429375" cy="3124200"/>
    <xdr:graphicFrame macro="">
      <xdr:nvGraphicFramePr>
        <xdr:cNvPr id="6" name="Chart 5" title="차트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OSEP PARK" id="{38A2F76C-AEC2-483E-8BA2-F7F34FDDA6DA}" userId="" providerId="google-sheets"/>
  <person displayName="Priscila Clarissa" id="{8644625B-AEC5-4A22-937A-A50D7D05D5EC}" userId="" providerId="google-sheets"/>
  <person displayName="sekim@whatap.io" id="{899D2B76-A17E-4D28-94E4-10DCFBDD8549}" userId="sekim@whatap.io" providerId="PeoplePicker"/>
  <person displayName="clarissa@whatap.io" id="{670843B5-653B-49ED-8B71-0F98D5324BA2}" userId="clarissa@whatap.io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5-12-11T04:21:28.00" personId="{38A2F76C-AEC2-483E-8BA2-F7F34FDDA6DA}" id="{EAFB65A9-B8FB-44AE-B4A0-BF1EEB4BC0DF}">
    <text>@sekim@whatap.io 신규 매출 2026년 1.2M, 2027년 1.5M 반영했습니다.</text>
    <mentions>
      <mention mentionpersonId="{899D2B76-A17E-4D28-94E4-10DCFBDD8549}" mentionId="{833ADA38-8F06-4981-817E-EFAFCD79CE09}" startIndex="0" length="16"/>
    </mentions>
  </threadedComment>
  <threadedComment ref="F10" dT="2025-12-11T04:22:19.00" personId="{38A2F76C-AEC2-483E-8BA2-F7F34FDDA6DA}" id="{236EACED-38DF-4DB6-AABF-8E50B0A34693}">
    <text>@sekim@whatap.io Sales 1명은 2026년 채용으로 넣었습니다.</text>
    <mentions>
      <mention mentionpersonId="{899D2B76-A17E-4D28-94E4-10DCFBDD8549}" mentionId="{709CA40F-8D3D-4424-819A-18C4627655CC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4" dT="2025-12-11T01:03:35.00" personId="{38A2F76C-AEC2-483E-8BA2-F7F34FDDA6DA}" id="{A68C8737-6462-4A07-ACB7-9172B7321CBE}">
    <text>we will make another colum specifying the TCV, but we should put the weighted contract value according to the stage now.</text>
  </threadedComment>
  <threadedComment ref="G30" dT="2025-12-10T11:47:15.00" personId="{38A2F76C-AEC2-483E-8BA2-F7F34FDDA6DA}" id="{969EF7DB-69E8-4A8E-A26C-9ADD684D62C1}">
    <text>@clarissa@whatap.io please put the amount and contract information for 2025 deals to be closed. You may ask Andy for further information if needed.
Assigned to clarissa@whatap.io</text>
    <mentions>
      <mention mentionpersonId="{670843B5-653B-49ED-8B71-0F98D5324BA2}" mentionId="{6C780866-D209-4135-A9DD-F0077FEEDCF6}" startIndex="0" length="19"/>
    </mentions>
  </threadedComment>
  <threadedComment ref="G30" dT="2025-12-10T12:00:40.00" personId="{8644625B-AEC5-4A22-937A-A50D7D05D5EC}" id="{058817C8-DE05-4733-B475-FF1BCB129643}" parentId="{969EF7DB-69E8-4A8E-A26C-9ADD684D62C1}">
    <text>Marked as done</text>
  </threadedComment>
  <threadedComment ref="G30" dT="2025-12-10T12:12:41.00" personId="{38A2F76C-AEC2-483E-8BA2-F7F34FDDA6DA}" id="{384C0FF4-5EDC-44F3-B3BD-8B355AFE20AA}" parentId="{969EF7DB-69E8-4A8E-A26C-9ADD684D62C1}">
    <text>noted
Re-opened</text>
  </threadedComment>
  <threadedComment ref="H39" dT="2025-12-10T11:48:08.00" personId="{38A2F76C-AEC2-483E-8BA2-F7F34FDDA6DA}" id="{7C3D56B8-FD93-433A-89B0-934E163C6E73}">
    <text>@clarissa@whatap.io TCV target for 2027 is 1.5M not 1.2M
Assigned to clarissa@whatap.io</text>
    <mentions>
      <mention mentionpersonId="{670843B5-653B-49ED-8B71-0F98D5324BA2}" mentionId="{53D7B6E0-5D70-44C2-AF85-22AA393B22EC}" startIndex="0" length="19"/>
    </mentions>
  </threadedComment>
  <threadedComment ref="H39" dT="2025-12-10T11:49:55.00" personId="{8644625B-AEC5-4A22-937A-A50D7D05D5EC}" id="{748CA05F-E818-4F4B-AE04-3D36F03D021B}" parentId="{7C3D56B8-FD93-433A-89B0-934E163C6E73}">
    <text>Marked as done</text>
  </threadedComment>
  <threadedComment ref="H39" dT="2025-12-10T12:12:47.00" personId="{38A2F76C-AEC2-483E-8BA2-F7F34FDDA6DA}" id="{3D6FE6E7-F007-4146-8230-DE3B19CDBD15}" parentId="{7C3D56B8-FD93-433A-89B0-934E163C6E73}">
    <text>noted
Re-opened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5"/>
  <sheetViews>
    <sheetView tabSelected="1" workbookViewId="0">
      <selection activeCell="M25" sqref="M25"/>
    </sheetView>
  </sheetViews>
  <sheetFormatPr defaultColWidth="12.6328125" defaultRowHeight="15.75" customHeight="1"/>
  <cols>
    <col min="1" max="1" width="18.90625" customWidth="1"/>
    <col min="4" max="4" width="17.7265625" customWidth="1"/>
    <col min="10" max="10" width="14.26953125" customWidth="1"/>
  </cols>
  <sheetData>
    <row r="1" spans="1:28" ht="15.75" customHeight="1">
      <c r="A1" s="1" t="s">
        <v>0</v>
      </c>
      <c r="B1" s="2"/>
      <c r="C1" s="2"/>
      <c r="D1" s="2"/>
      <c r="E1" s="2"/>
      <c r="F1" s="2"/>
      <c r="G1" s="2"/>
      <c r="H1" s="3">
        <v>1450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>
      <c r="A2" s="6"/>
      <c r="B2" s="6"/>
      <c r="C2" s="6"/>
      <c r="D2" s="6"/>
      <c r="E2" s="7" t="s">
        <v>1</v>
      </c>
      <c r="F2" s="7" t="s">
        <v>2</v>
      </c>
      <c r="G2" s="7" t="s">
        <v>3</v>
      </c>
      <c r="H2" s="6" t="s">
        <v>4</v>
      </c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.75" customHeight="1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.75" customHeight="1">
      <c r="A4" s="10" t="s">
        <v>14</v>
      </c>
      <c r="B4" s="11"/>
      <c r="C4" s="12">
        <f>'Global(계약시점)'!N44*H1</f>
        <v>3697500</v>
      </c>
      <c r="D4" s="12">
        <f>'Global(계약시점)'!Z44*H1</f>
        <v>132949533.33333334</v>
      </c>
      <c r="E4" s="12">
        <f>'Global(계약시점)'!AL44*H1</f>
        <v>439316577.49999994</v>
      </c>
      <c r="F4" s="12">
        <f>'Global(계약시점)'!AY44*H1</f>
        <v>1023111212.9999999</v>
      </c>
      <c r="G4" s="12">
        <f>'Global(계약시점)'!BK44*H1</f>
        <v>1737933377.8333335</v>
      </c>
      <c r="H4" s="12">
        <f>'Global(계약시점)'!BW44*H1</f>
        <v>1454830935.9999998</v>
      </c>
      <c r="I4" s="10" t="s">
        <v>15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>
      <c r="A5" s="13" t="s">
        <v>16</v>
      </c>
      <c r="B5" s="14">
        <f>'Global(계약시점)'!K44*H1</f>
        <v>3697500</v>
      </c>
      <c r="C5" s="14">
        <f>'Global(계약시점)'!N47*H1</f>
        <v>233835941.66666666</v>
      </c>
      <c r="D5" s="15">
        <f>'Global(계약시점)'!Z47*H1</f>
        <v>72478660.833333328</v>
      </c>
      <c r="E5" s="15">
        <f>'Global(계약시점)'!AL47*H1</f>
        <v>251328500</v>
      </c>
      <c r="F5" s="15">
        <f>'Global(계약시점)'!AY47*H1</f>
        <v>302088650</v>
      </c>
      <c r="G5" s="15">
        <f>('Global(계약시점)'!G45+'Global(계약시점)'!G46+'Global(계약시점)'!G47+'Global(계약시점)'!G48)*H1</f>
        <v>366125000</v>
      </c>
      <c r="H5" s="15">
        <f>G5+G5*20%</f>
        <v>439350000</v>
      </c>
      <c r="I5" s="13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5.75" customHeight="1">
      <c r="A6" s="16" t="s">
        <v>18</v>
      </c>
      <c r="B6" s="17">
        <f t="shared" ref="B6:H6" si="0">(B4+B5)*20%</f>
        <v>739500</v>
      </c>
      <c r="C6" s="17">
        <f t="shared" si="0"/>
        <v>47506688.333333336</v>
      </c>
      <c r="D6" s="17">
        <f t="shared" si="0"/>
        <v>41085638.833333343</v>
      </c>
      <c r="E6" s="17">
        <f t="shared" si="0"/>
        <v>138129015.5</v>
      </c>
      <c r="F6" s="17">
        <f t="shared" si="0"/>
        <v>265039972.60000002</v>
      </c>
      <c r="G6" s="17">
        <f t="shared" si="0"/>
        <v>420811675.56666672</v>
      </c>
      <c r="H6" s="17">
        <f t="shared" si="0"/>
        <v>378836187.19999999</v>
      </c>
      <c r="I6" s="10" t="s">
        <v>19</v>
      </c>
      <c r="J6" s="5" t="s">
        <v>20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>
      <c r="A7" s="16" t="s">
        <v>21</v>
      </c>
      <c r="B7" s="17">
        <v>162662013</v>
      </c>
      <c r="C7" s="17">
        <v>501833535</v>
      </c>
      <c r="D7" s="17">
        <f>617645135/10*12</f>
        <v>741174162</v>
      </c>
      <c r="E7" s="17">
        <f>C65</f>
        <v>0</v>
      </c>
      <c r="F7" s="17">
        <f t="shared" ref="F7:G7" si="1">E7*1.1</f>
        <v>0</v>
      </c>
      <c r="G7" s="17">
        <f t="shared" si="1"/>
        <v>0</v>
      </c>
      <c r="H7" s="17">
        <f>G7*1.1+150000000</f>
        <v>150000000</v>
      </c>
      <c r="I7" s="10"/>
      <c r="J7" s="5" t="s">
        <v>22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>
      <c r="A8" s="18" t="s">
        <v>23</v>
      </c>
      <c r="B8" s="19">
        <f t="shared" ref="B8:H8" si="2">B4+B5-B6-B7</f>
        <v>-159704013</v>
      </c>
      <c r="C8" s="19">
        <f t="shared" si="2"/>
        <v>-311806781.66666669</v>
      </c>
      <c r="D8" s="19">
        <f t="shared" si="2"/>
        <v>-576831606.66666663</v>
      </c>
      <c r="E8" s="19">
        <f t="shared" si="2"/>
        <v>552516062</v>
      </c>
      <c r="F8" s="19">
        <f t="shared" si="2"/>
        <v>1060159890.4</v>
      </c>
      <c r="G8" s="20">
        <f t="shared" si="2"/>
        <v>1683246702.2666669</v>
      </c>
      <c r="H8" s="20">
        <f t="shared" si="2"/>
        <v>1365344748.7999997</v>
      </c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>
      <c r="A9" s="21" t="s">
        <v>24</v>
      </c>
      <c r="B9" s="22"/>
      <c r="C9" s="22">
        <f>B8+C8</f>
        <v>-471510794.66666669</v>
      </c>
      <c r="D9" s="22">
        <f t="shared" ref="D9:H9" si="3">C9+D8</f>
        <v>-1048342401.3333333</v>
      </c>
      <c r="E9" s="22">
        <f t="shared" si="3"/>
        <v>-495826339.33333325</v>
      </c>
      <c r="F9" s="22">
        <f t="shared" si="3"/>
        <v>564333551.06666672</v>
      </c>
      <c r="G9" s="22">
        <f t="shared" si="3"/>
        <v>2247580253.3333335</v>
      </c>
      <c r="H9" s="22">
        <f t="shared" si="3"/>
        <v>3612925002.1333332</v>
      </c>
      <c r="I9" s="10" t="s">
        <v>25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>
      <c r="A10" s="263" t="s">
        <v>26</v>
      </c>
      <c r="B10" s="23"/>
      <c r="C10" s="23"/>
      <c r="D10" s="24" t="s">
        <v>27</v>
      </c>
      <c r="E10" s="25"/>
      <c r="F10" s="26"/>
      <c r="G10" s="23"/>
      <c r="H10" s="27" t="s">
        <v>28</v>
      </c>
      <c r="I10" s="2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>
      <c r="A11" s="264"/>
      <c r="B11" s="28"/>
      <c r="C11" s="28"/>
      <c r="D11" s="29" t="s">
        <v>29</v>
      </c>
      <c r="E11" s="30" t="s">
        <v>30</v>
      </c>
      <c r="F11" s="28"/>
      <c r="G11" s="28"/>
      <c r="H11" s="31"/>
      <c r="I11" s="3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>
      <c r="A12" s="264"/>
      <c r="B12" s="28"/>
      <c r="C12" s="28"/>
      <c r="D12" s="29" t="s">
        <v>31</v>
      </c>
      <c r="E12" s="32"/>
      <c r="F12" s="28"/>
      <c r="G12" s="28"/>
      <c r="H12" s="31"/>
      <c r="I12" s="3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>
      <c r="A13" s="264"/>
      <c r="B13" s="33"/>
      <c r="C13" s="33"/>
      <c r="D13" s="34" t="s">
        <v>32</v>
      </c>
      <c r="E13" s="35"/>
      <c r="F13" s="36"/>
      <c r="G13" s="36"/>
      <c r="H13" s="37"/>
      <c r="I13" s="3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>
      <c r="A14" s="265"/>
      <c r="B14" s="38"/>
      <c r="C14" s="38"/>
      <c r="D14" s="38">
        <v>8</v>
      </c>
      <c r="E14" s="37">
        <v>10</v>
      </c>
      <c r="F14" s="37">
        <v>10</v>
      </c>
      <c r="G14" s="37">
        <v>10</v>
      </c>
      <c r="H14" s="37">
        <v>12</v>
      </c>
      <c r="I14" s="3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>
      <c r="A16" s="5"/>
      <c r="B16" s="5"/>
      <c r="C16" s="5"/>
      <c r="D16" s="5"/>
      <c r="E16" s="5"/>
      <c r="F16" s="5"/>
      <c r="G16" s="5">
        <f>(G5-F5)/F5</f>
        <v>0.21197866917542252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 t="s">
        <v>33</v>
      </c>
      <c r="C21" s="5" t="s">
        <v>34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40" t="s">
        <v>35</v>
      </c>
      <c r="B22" s="41">
        <f t="shared" ref="B22:C22" si="4">SUM(B23:B53)-B24-B25</f>
        <v>80230089</v>
      </c>
      <c r="C22" s="41">
        <f t="shared" si="4"/>
        <v>863849248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42" t="s">
        <v>36</v>
      </c>
      <c r="B23" s="43">
        <v>30903499</v>
      </c>
      <c r="C23" s="44">
        <f>B23*12</f>
        <v>370841988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45" t="s">
        <v>37</v>
      </c>
      <c r="B24" s="46">
        <v>16504999</v>
      </c>
      <c r="C24" s="4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45" t="s">
        <v>38</v>
      </c>
      <c r="B25" s="46">
        <v>14398500</v>
      </c>
      <c r="C25" s="4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42" t="s">
        <v>39</v>
      </c>
      <c r="B26" s="46">
        <v>4725443</v>
      </c>
      <c r="C26" s="44">
        <v>60000000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42" t="s">
        <v>40</v>
      </c>
      <c r="B27" s="46">
        <v>0</v>
      </c>
      <c r="C27" s="4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42" t="s">
        <v>41</v>
      </c>
      <c r="B28" s="46">
        <v>0</v>
      </c>
      <c r="C28" s="4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42" t="s">
        <v>42</v>
      </c>
      <c r="B29" s="46">
        <v>1467522</v>
      </c>
      <c r="C29" s="44">
        <f>B29*12</f>
        <v>17610264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42" t="s">
        <v>43</v>
      </c>
      <c r="B30" s="46">
        <v>1660070</v>
      </c>
      <c r="C30" s="44">
        <f>2400000*2</f>
        <v>4800000</v>
      </c>
      <c r="D30" s="5"/>
      <c r="E30" s="5"/>
      <c r="F30" s="5"/>
      <c r="G30" s="5"/>
      <c r="H30" s="5"/>
      <c r="I30" s="1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42" t="s">
        <v>44</v>
      </c>
      <c r="B31" s="46">
        <v>121471</v>
      </c>
      <c r="C31" s="44">
        <v>3000000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42" t="s">
        <v>45</v>
      </c>
      <c r="B32" s="46">
        <v>147465</v>
      </c>
      <c r="C32" s="44">
        <v>1200000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42" t="s">
        <v>46</v>
      </c>
      <c r="B33" s="46">
        <v>0</v>
      </c>
      <c r="C33" s="4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42" t="s">
        <v>47</v>
      </c>
      <c r="B34" s="46">
        <v>42141</v>
      </c>
      <c r="C34" s="44">
        <v>1000000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42" t="s">
        <v>48</v>
      </c>
      <c r="B35" s="46">
        <v>1383165</v>
      </c>
      <c r="C35" s="44">
        <f t="shared" ref="C35:C37" si="5">B35*12</f>
        <v>16597980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42" t="s">
        <v>49</v>
      </c>
      <c r="B36" s="46">
        <v>8855664</v>
      </c>
      <c r="C36" s="44">
        <f t="shared" si="5"/>
        <v>106267968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3">
      <c r="A37" s="42" t="s">
        <v>50</v>
      </c>
      <c r="B37" s="46">
        <v>2629276</v>
      </c>
      <c r="C37" s="44">
        <f t="shared" si="5"/>
        <v>31551312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3">
      <c r="A38" s="42" t="s">
        <v>51</v>
      </c>
      <c r="B38" s="46">
        <v>0</v>
      </c>
      <c r="C38" s="4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3">
      <c r="A39" s="42" t="s">
        <v>52</v>
      </c>
      <c r="B39" s="46">
        <v>573300</v>
      </c>
      <c r="C39" s="44">
        <f>B39*12</f>
        <v>6879600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3">
      <c r="A40" s="42" t="s">
        <v>53</v>
      </c>
      <c r="B40" s="46">
        <v>0</v>
      </c>
      <c r="C40" s="4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3">
      <c r="A41" s="42" t="s">
        <v>54</v>
      </c>
      <c r="B41" s="46">
        <v>824166</v>
      </c>
      <c r="C41" s="44">
        <f t="shared" ref="C41:C42" si="6">B41*12</f>
        <v>9889992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3">
      <c r="A42" s="42" t="s">
        <v>55</v>
      </c>
      <c r="B42" s="46">
        <v>1420336</v>
      </c>
      <c r="C42" s="44">
        <f t="shared" si="6"/>
        <v>17044032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3">
      <c r="A43" s="42" t="s">
        <v>56</v>
      </c>
      <c r="B43" s="46">
        <v>0</v>
      </c>
      <c r="C43" s="4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3">
      <c r="A44" s="42" t="s">
        <v>57</v>
      </c>
      <c r="B44" s="46">
        <v>0</v>
      </c>
      <c r="C44" s="4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3">
      <c r="A45" s="42" t="s">
        <v>58</v>
      </c>
      <c r="B45" s="46">
        <v>0</v>
      </c>
      <c r="C45" s="4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3">
      <c r="A46" s="42" t="s">
        <v>59</v>
      </c>
      <c r="B46" s="46">
        <v>218904</v>
      </c>
      <c r="C46" s="44">
        <f t="shared" ref="C46:C48" si="7">B46*12</f>
        <v>2626848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3">
      <c r="A47" s="42" t="s">
        <v>60</v>
      </c>
      <c r="B47" s="46">
        <v>183567</v>
      </c>
      <c r="C47" s="44">
        <f t="shared" si="7"/>
        <v>2202804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3">
      <c r="A48" s="42" t="s">
        <v>61</v>
      </c>
      <c r="B48" s="46">
        <v>9036200</v>
      </c>
      <c r="C48" s="44">
        <f t="shared" si="7"/>
        <v>108434400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3">
      <c r="A49" s="42" t="s">
        <v>62</v>
      </c>
      <c r="B49" s="46">
        <v>0</v>
      </c>
      <c r="C49" s="4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3">
      <c r="A50" s="42" t="s">
        <v>63</v>
      </c>
      <c r="B50" s="46">
        <v>6643350</v>
      </c>
      <c r="C50" s="44">
        <f>B50*12</f>
        <v>79720200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3">
      <c r="A51" s="42" t="s">
        <v>64</v>
      </c>
      <c r="B51" s="46">
        <v>0</v>
      </c>
      <c r="C51" s="4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3">
      <c r="A52" s="42" t="s">
        <v>65</v>
      </c>
      <c r="B52" s="46">
        <v>0</v>
      </c>
      <c r="C52" s="4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3">
      <c r="A53" s="42" t="s">
        <v>66</v>
      </c>
      <c r="B53" s="46">
        <v>9394550</v>
      </c>
      <c r="C53" s="44">
        <f>6045465*4</f>
        <v>24181860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3">
      <c r="A54" s="47" t="s">
        <v>67</v>
      </c>
      <c r="B54" s="48">
        <v>84191140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5">
      <c r="A56" s="49"/>
      <c r="B56" s="50"/>
      <c r="C56" s="5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5">
      <c r="A57" s="49"/>
      <c r="B57" s="50"/>
      <c r="C57" s="5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5">
      <c r="A58" s="49"/>
      <c r="B58" s="50"/>
      <c r="C58" s="5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5">
      <c r="A59" s="49"/>
      <c r="B59" s="50"/>
      <c r="C59" s="5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5">
      <c r="A60" s="49"/>
      <c r="B60" s="50"/>
      <c r="C60" s="5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5">
      <c r="A61" s="49"/>
      <c r="B61" s="50"/>
      <c r="C61" s="5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5">
      <c r="A62" s="49"/>
      <c r="B62" s="50"/>
      <c r="C62" s="5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5">
      <c r="A63" s="49"/>
      <c r="B63" s="50"/>
      <c r="C63" s="5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5">
      <c r="A64" s="49"/>
      <c r="B64" s="50"/>
      <c r="C64" s="5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5">
      <c r="A65" s="5"/>
      <c r="B65" s="44"/>
      <c r="C65" s="4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</sheetData>
  <mergeCells count="1">
    <mergeCell ref="A10:A14"/>
  </mergeCells>
  <phoneticPr fontId="3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CB9C"/>
    <outlinePr summaryBelow="0" summaryRight="0"/>
    <pageSetUpPr fitToPage="1"/>
  </sheetPr>
  <dimension ref="A1:DB1017"/>
  <sheetViews>
    <sheetView showGridLines="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defaultColWidth="12.6328125" defaultRowHeight="15.75" customHeight="1"/>
  <cols>
    <col min="1" max="1" width="7" customWidth="1"/>
    <col min="2" max="2" width="10.6328125" customWidth="1"/>
    <col min="3" max="3" width="6.453125" customWidth="1"/>
    <col min="4" max="4" width="39.453125" customWidth="1"/>
    <col min="5" max="5" width="14.36328125" customWidth="1"/>
    <col min="6" max="6" width="7.36328125" customWidth="1"/>
    <col min="7" max="7" width="9.26953125" customWidth="1"/>
    <col min="8" max="8" width="9.6328125" customWidth="1"/>
    <col min="9" max="9" width="2.90625" customWidth="1"/>
    <col min="10" max="10" width="30.453125" customWidth="1"/>
    <col min="11" max="38" width="7.453125" customWidth="1"/>
    <col min="39" max="39" width="9.08984375" customWidth="1"/>
    <col min="40" max="98" width="7.453125" customWidth="1"/>
    <col min="99" max="99" width="11.90625" customWidth="1"/>
    <col min="100" max="106" width="2.7265625" customWidth="1"/>
  </cols>
  <sheetData>
    <row r="1" spans="1:106" ht="12.5">
      <c r="A1" s="51" t="s">
        <v>68</v>
      </c>
      <c r="B1" s="51"/>
      <c r="C1" s="52"/>
      <c r="D1" s="52"/>
      <c r="E1" s="53" t="s">
        <v>69</v>
      </c>
      <c r="F1" s="54">
        <v>1</v>
      </c>
      <c r="G1" s="55">
        <v>1400.96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7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8"/>
      <c r="CV1" s="52"/>
      <c r="CW1" s="52"/>
      <c r="CX1" s="52"/>
      <c r="CY1" s="52"/>
      <c r="CZ1" s="52"/>
      <c r="DA1" s="52"/>
      <c r="DB1" s="52"/>
    </row>
    <row r="2" spans="1:106" ht="12.5">
      <c r="A2" s="52"/>
      <c r="B2" s="52"/>
      <c r="C2" s="52"/>
      <c r="D2" s="52"/>
      <c r="E2" s="52"/>
      <c r="F2" s="52"/>
      <c r="G2" s="52"/>
      <c r="H2" s="52"/>
      <c r="I2" s="52"/>
      <c r="J2" s="52"/>
      <c r="K2" s="281">
        <v>2023</v>
      </c>
      <c r="L2" s="282"/>
      <c r="M2" s="283"/>
      <c r="N2" s="281">
        <v>2024</v>
      </c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3"/>
      <c r="Z2" s="281">
        <v>2025</v>
      </c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3"/>
      <c r="AL2" s="281">
        <v>2026</v>
      </c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3"/>
      <c r="AY2" s="281">
        <v>2027</v>
      </c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3"/>
      <c r="BK2" s="281">
        <v>2028</v>
      </c>
      <c r="BL2" s="282"/>
      <c r="BM2" s="282"/>
      <c r="BN2" s="282"/>
      <c r="BO2" s="282"/>
      <c r="BP2" s="282"/>
      <c r="BQ2" s="282"/>
      <c r="BR2" s="282"/>
      <c r="BS2" s="282"/>
      <c r="BT2" s="282"/>
      <c r="BU2" s="282"/>
      <c r="BV2" s="283"/>
      <c r="BW2" s="281">
        <v>2029</v>
      </c>
      <c r="BX2" s="282"/>
      <c r="BY2" s="282"/>
      <c r="BZ2" s="282"/>
      <c r="CA2" s="282"/>
      <c r="CB2" s="282"/>
      <c r="CC2" s="282"/>
      <c r="CD2" s="282"/>
      <c r="CE2" s="282"/>
      <c r="CF2" s="282"/>
      <c r="CG2" s="282"/>
      <c r="CH2" s="283"/>
      <c r="CI2" s="281">
        <v>2030</v>
      </c>
      <c r="CJ2" s="282"/>
      <c r="CK2" s="282"/>
      <c r="CL2" s="282"/>
      <c r="CM2" s="282"/>
      <c r="CN2" s="282"/>
      <c r="CO2" s="282"/>
      <c r="CP2" s="282"/>
      <c r="CQ2" s="282"/>
      <c r="CR2" s="282"/>
      <c r="CS2" s="282"/>
      <c r="CT2" s="283"/>
      <c r="CU2" s="58"/>
      <c r="CV2" s="52"/>
      <c r="CW2" s="52"/>
      <c r="CX2" s="52"/>
      <c r="CY2" s="52"/>
      <c r="CZ2" s="52"/>
      <c r="DA2" s="52"/>
      <c r="DB2" s="52"/>
    </row>
    <row r="3" spans="1:106" ht="12.5">
      <c r="A3" s="59" t="s">
        <v>70</v>
      </c>
      <c r="B3" s="59" t="s">
        <v>71</v>
      </c>
      <c r="C3" s="59" t="s">
        <v>72</v>
      </c>
      <c r="D3" s="59" t="s">
        <v>73</v>
      </c>
      <c r="E3" s="59" t="s">
        <v>74</v>
      </c>
      <c r="F3" s="59" t="s">
        <v>75</v>
      </c>
      <c r="G3" s="59" t="s">
        <v>76</v>
      </c>
      <c r="H3" s="59" t="s">
        <v>77</v>
      </c>
      <c r="I3" s="52"/>
      <c r="J3" s="60" t="s">
        <v>78</v>
      </c>
      <c r="K3" s="61">
        <v>10</v>
      </c>
      <c r="L3" s="61">
        <v>11</v>
      </c>
      <c r="M3" s="62">
        <v>12</v>
      </c>
      <c r="N3" s="63">
        <v>1</v>
      </c>
      <c r="O3" s="61">
        <v>2</v>
      </c>
      <c r="P3" s="61">
        <v>3</v>
      </c>
      <c r="Q3" s="61">
        <v>4</v>
      </c>
      <c r="R3" s="61">
        <v>5</v>
      </c>
      <c r="S3" s="61">
        <v>6</v>
      </c>
      <c r="T3" s="61">
        <v>7</v>
      </c>
      <c r="U3" s="61">
        <v>8</v>
      </c>
      <c r="V3" s="61">
        <v>9</v>
      </c>
      <c r="W3" s="61">
        <v>10</v>
      </c>
      <c r="X3" s="61">
        <v>11</v>
      </c>
      <c r="Y3" s="62">
        <v>12</v>
      </c>
      <c r="Z3" s="63">
        <v>1</v>
      </c>
      <c r="AA3" s="61">
        <v>2</v>
      </c>
      <c r="AB3" s="61">
        <v>3</v>
      </c>
      <c r="AC3" s="61">
        <v>4</v>
      </c>
      <c r="AD3" s="61">
        <v>5</v>
      </c>
      <c r="AE3" s="61">
        <v>6</v>
      </c>
      <c r="AF3" s="61">
        <v>7</v>
      </c>
      <c r="AG3" s="61">
        <v>8</v>
      </c>
      <c r="AH3" s="61">
        <v>9</v>
      </c>
      <c r="AI3" s="61">
        <v>10</v>
      </c>
      <c r="AJ3" s="61">
        <v>11</v>
      </c>
      <c r="AK3" s="62">
        <v>12</v>
      </c>
      <c r="AL3" s="63">
        <v>1</v>
      </c>
      <c r="AM3" s="64" t="s">
        <v>79</v>
      </c>
      <c r="AN3" s="61">
        <v>2</v>
      </c>
      <c r="AO3" s="61">
        <v>3</v>
      </c>
      <c r="AP3" s="61">
        <v>4</v>
      </c>
      <c r="AQ3" s="61">
        <v>5</v>
      </c>
      <c r="AR3" s="61">
        <v>6</v>
      </c>
      <c r="AS3" s="61">
        <v>7</v>
      </c>
      <c r="AT3" s="61">
        <v>8</v>
      </c>
      <c r="AU3" s="61">
        <v>9</v>
      </c>
      <c r="AV3" s="61">
        <v>10</v>
      </c>
      <c r="AW3" s="61">
        <v>11</v>
      </c>
      <c r="AX3" s="62">
        <v>12</v>
      </c>
      <c r="AY3" s="63">
        <v>1</v>
      </c>
      <c r="AZ3" s="61">
        <v>2</v>
      </c>
      <c r="BA3" s="61">
        <v>3</v>
      </c>
      <c r="BB3" s="61">
        <v>4</v>
      </c>
      <c r="BC3" s="61">
        <v>5</v>
      </c>
      <c r="BD3" s="61">
        <v>6</v>
      </c>
      <c r="BE3" s="61">
        <v>7</v>
      </c>
      <c r="BF3" s="61">
        <v>8</v>
      </c>
      <c r="BG3" s="61">
        <v>9</v>
      </c>
      <c r="BH3" s="61">
        <v>10</v>
      </c>
      <c r="BI3" s="61">
        <v>11</v>
      </c>
      <c r="BJ3" s="62">
        <v>12</v>
      </c>
      <c r="BK3" s="63">
        <v>1</v>
      </c>
      <c r="BL3" s="61">
        <v>2</v>
      </c>
      <c r="BM3" s="61">
        <v>3</v>
      </c>
      <c r="BN3" s="61">
        <v>4</v>
      </c>
      <c r="BO3" s="61">
        <v>5</v>
      </c>
      <c r="BP3" s="61">
        <v>6</v>
      </c>
      <c r="BQ3" s="61">
        <v>7</v>
      </c>
      <c r="BR3" s="61">
        <v>8</v>
      </c>
      <c r="BS3" s="61">
        <v>9</v>
      </c>
      <c r="BT3" s="61">
        <v>10</v>
      </c>
      <c r="BU3" s="61">
        <v>11</v>
      </c>
      <c r="BV3" s="62">
        <v>12</v>
      </c>
      <c r="BW3" s="63">
        <v>1</v>
      </c>
      <c r="BX3" s="61">
        <v>2</v>
      </c>
      <c r="BY3" s="61">
        <v>3</v>
      </c>
      <c r="BZ3" s="61">
        <v>4</v>
      </c>
      <c r="CA3" s="61">
        <v>5</v>
      </c>
      <c r="CB3" s="61">
        <v>6</v>
      </c>
      <c r="CC3" s="61">
        <v>7</v>
      </c>
      <c r="CD3" s="61">
        <v>8</v>
      </c>
      <c r="CE3" s="61">
        <v>9</v>
      </c>
      <c r="CF3" s="61">
        <v>10</v>
      </c>
      <c r="CG3" s="61">
        <v>11</v>
      </c>
      <c r="CH3" s="62">
        <v>12</v>
      </c>
      <c r="CI3" s="63">
        <v>1</v>
      </c>
      <c r="CJ3" s="61">
        <v>2</v>
      </c>
      <c r="CK3" s="61">
        <v>3</v>
      </c>
      <c r="CL3" s="61">
        <v>4</v>
      </c>
      <c r="CM3" s="61">
        <v>5</v>
      </c>
      <c r="CN3" s="61">
        <v>6</v>
      </c>
      <c r="CO3" s="61">
        <v>7</v>
      </c>
      <c r="CP3" s="61">
        <v>8</v>
      </c>
      <c r="CQ3" s="61">
        <v>9</v>
      </c>
      <c r="CR3" s="61">
        <v>10</v>
      </c>
      <c r="CS3" s="61">
        <v>11</v>
      </c>
      <c r="CT3" s="62">
        <v>12</v>
      </c>
      <c r="CU3" s="58"/>
      <c r="CV3" s="52"/>
      <c r="CW3" s="52"/>
      <c r="CX3" s="52"/>
      <c r="CY3" s="52"/>
      <c r="CZ3" s="52"/>
      <c r="DA3" s="52"/>
      <c r="DB3" s="52"/>
    </row>
    <row r="4" spans="1:106" ht="12.5">
      <c r="A4" s="65">
        <v>2023</v>
      </c>
      <c r="B4" s="66" t="s">
        <v>80</v>
      </c>
      <c r="C4" s="66"/>
      <c r="D4" s="66" t="s">
        <v>81</v>
      </c>
      <c r="E4" s="66" t="s">
        <v>82</v>
      </c>
      <c r="F4" s="66">
        <v>6</v>
      </c>
      <c r="G4" s="54">
        <v>5100</v>
      </c>
      <c r="H4" s="54">
        <v>5100</v>
      </c>
      <c r="I4" s="52"/>
      <c r="J4" s="67" t="s">
        <v>83</v>
      </c>
      <c r="K4" s="68">
        <v>850</v>
      </c>
      <c r="L4" s="68">
        <v>850</v>
      </c>
      <c r="M4" s="69">
        <v>850</v>
      </c>
      <c r="N4" s="68">
        <v>850</v>
      </c>
      <c r="O4" s="68">
        <v>850</v>
      </c>
      <c r="P4" s="68">
        <v>850</v>
      </c>
      <c r="Q4" s="70"/>
      <c r="R4" s="70"/>
      <c r="S4" s="70"/>
      <c r="T4" s="70"/>
      <c r="U4" s="70"/>
      <c r="V4" s="70"/>
      <c r="W4" s="70"/>
      <c r="X4" s="70"/>
      <c r="Y4" s="71"/>
      <c r="Z4" s="72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1"/>
      <c r="AL4" s="72"/>
      <c r="AM4" s="73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1"/>
      <c r="AY4" s="72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1"/>
      <c r="BK4" s="72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1"/>
      <c r="BW4" s="72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1"/>
      <c r="CI4" s="72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1"/>
      <c r="CU4" s="58">
        <f t="shared" ref="CU4:CU25" si="0">SUM(K4:CT4)</f>
        <v>5100</v>
      </c>
      <c r="CV4" s="52"/>
      <c r="CW4" s="52"/>
      <c r="CX4" s="52"/>
      <c r="CY4" s="52"/>
      <c r="CZ4" s="52"/>
      <c r="DA4" s="52"/>
      <c r="DB4" s="52"/>
    </row>
    <row r="5" spans="1:106" ht="12.5">
      <c r="A5" s="65">
        <v>2023</v>
      </c>
      <c r="B5" s="66" t="s">
        <v>80</v>
      </c>
      <c r="C5" s="66"/>
      <c r="D5" s="66" t="s">
        <v>84</v>
      </c>
      <c r="E5" s="66" t="s">
        <v>85</v>
      </c>
      <c r="F5" s="66">
        <v>12</v>
      </c>
      <c r="G5" s="54">
        <v>2340</v>
      </c>
      <c r="H5" s="54">
        <v>2340</v>
      </c>
      <c r="I5" s="52"/>
      <c r="J5" s="67" t="s">
        <v>86</v>
      </c>
      <c r="K5" s="70"/>
      <c r="L5" s="70"/>
      <c r="M5" s="71"/>
      <c r="N5" s="68">
        <v>195</v>
      </c>
      <c r="O5" s="74">
        <v>195</v>
      </c>
      <c r="P5" s="74">
        <v>195</v>
      </c>
      <c r="Q5" s="74">
        <v>195</v>
      </c>
      <c r="R5" s="74">
        <v>195</v>
      </c>
      <c r="S5" s="74">
        <v>195</v>
      </c>
      <c r="T5" s="74">
        <v>195</v>
      </c>
      <c r="U5" s="74">
        <v>195</v>
      </c>
      <c r="V5" s="74">
        <v>195</v>
      </c>
      <c r="W5" s="74">
        <v>195</v>
      </c>
      <c r="X5" s="74">
        <v>195</v>
      </c>
      <c r="Y5" s="75">
        <v>195</v>
      </c>
      <c r="Z5" s="72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1"/>
      <c r="AL5" s="72"/>
      <c r="AM5" s="73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1"/>
      <c r="AY5" s="72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1"/>
      <c r="BK5" s="72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1"/>
      <c r="BW5" s="72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1"/>
      <c r="CI5" s="72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1"/>
      <c r="CU5" s="58">
        <f t="shared" si="0"/>
        <v>2340</v>
      </c>
      <c r="CV5" s="52"/>
      <c r="CW5" s="52"/>
      <c r="CX5" s="52"/>
      <c r="CY5" s="52"/>
      <c r="CZ5" s="52"/>
      <c r="DA5" s="52"/>
      <c r="DB5" s="52"/>
    </row>
    <row r="6" spans="1:106" ht="12.5">
      <c r="A6" s="65">
        <v>2024</v>
      </c>
      <c r="B6" s="66" t="s">
        <v>80</v>
      </c>
      <c r="C6" s="66"/>
      <c r="D6" s="76" t="s">
        <v>87</v>
      </c>
      <c r="E6" s="66" t="s">
        <v>88</v>
      </c>
      <c r="F6" s="66">
        <v>24</v>
      </c>
      <c r="G6" s="54">
        <v>12457</v>
      </c>
      <c r="H6" s="54">
        <v>24914</v>
      </c>
      <c r="I6" s="52"/>
      <c r="J6" s="67" t="s">
        <v>89</v>
      </c>
      <c r="K6" s="70"/>
      <c r="L6" s="70"/>
      <c r="M6" s="71"/>
      <c r="N6" s="72"/>
      <c r="O6" s="70"/>
      <c r="P6" s="70"/>
      <c r="Q6" s="74">
        <v>1038.0833333333333</v>
      </c>
      <c r="R6" s="74">
        <v>1038.0833333333333</v>
      </c>
      <c r="S6" s="74">
        <v>1038.0833333333333</v>
      </c>
      <c r="T6" s="74">
        <v>1038.0833333333333</v>
      </c>
      <c r="U6" s="74">
        <v>1038.0833333333333</v>
      </c>
      <c r="V6" s="74">
        <v>1038.0833333333333</v>
      </c>
      <c r="W6" s="74">
        <v>1038.0833333333333</v>
      </c>
      <c r="X6" s="74">
        <v>1038.0833333333333</v>
      </c>
      <c r="Y6" s="75">
        <v>1038.0833333333333</v>
      </c>
      <c r="Z6" s="68">
        <v>1038.0833333333333</v>
      </c>
      <c r="AA6" s="74">
        <v>1038.0833333333333</v>
      </c>
      <c r="AB6" s="74">
        <v>1038.0833333333333</v>
      </c>
      <c r="AC6" s="74">
        <v>1038.0833333333333</v>
      </c>
      <c r="AD6" s="74">
        <v>1038.0833333333333</v>
      </c>
      <c r="AE6" s="74">
        <v>1038.0833333333333</v>
      </c>
      <c r="AF6" s="74">
        <v>1038.0833333333333</v>
      </c>
      <c r="AG6" s="74">
        <v>1038.0833333333333</v>
      </c>
      <c r="AH6" s="74">
        <v>1038.0833333333333</v>
      </c>
      <c r="AI6" s="74">
        <v>1038.0833333333333</v>
      </c>
      <c r="AJ6" s="74">
        <v>1038.0833333333333</v>
      </c>
      <c r="AK6" s="75">
        <v>1038.0833333333333</v>
      </c>
      <c r="AL6" s="68">
        <v>1038.0833333333333</v>
      </c>
      <c r="AM6" s="77">
        <f>592703+740664+20574+19202+50749</f>
        <v>1423892</v>
      </c>
      <c r="AN6" s="74">
        <v>1038.0833333333333</v>
      </c>
      <c r="AO6" s="74">
        <v>1038.0833333333333</v>
      </c>
      <c r="AP6" s="78">
        <v>1038.0833333333333</v>
      </c>
      <c r="AQ6" s="78">
        <v>1038.0833333333333</v>
      </c>
      <c r="AR6" s="78">
        <v>1038.0833333333333</v>
      </c>
      <c r="AS6" s="78">
        <v>1038.0833333333333</v>
      </c>
      <c r="AT6" s="78">
        <v>1038.0833333333333</v>
      </c>
      <c r="AU6" s="78">
        <v>1038.0833333333333</v>
      </c>
      <c r="AV6" s="78">
        <v>1038.0833333333333</v>
      </c>
      <c r="AW6" s="78">
        <v>1038.0833333333333</v>
      </c>
      <c r="AX6" s="79">
        <v>1038.0833333333333</v>
      </c>
      <c r="AY6" s="78">
        <v>1038.0833333333333</v>
      </c>
      <c r="AZ6" s="78">
        <v>1038.0833333333333</v>
      </c>
      <c r="BA6" s="78">
        <v>1038.0833333333333</v>
      </c>
      <c r="BB6" s="78">
        <v>1038.0833333333333</v>
      </c>
      <c r="BC6" s="78">
        <v>1038.0833333333333</v>
      </c>
      <c r="BD6" s="78">
        <v>1038.0833333333333</v>
      </c>
      <c r="BE6" s="78">
        <v>1038.0833333333333</v>
      </c>
      <c r="BF6" s="78">
        <v>1038.0833333333333</v>
      </c>
      <c r="BG6" s="78">
        <v>1038.0833333333333</v>
      </c>
      <c r="BH6" s="78">
        <v>1038.0833333333333</v>
      </c>
      <c r="BI6" s="78">
        <v>1038.0833333333333</v>
      </c>
      <c r="BJ6" s="80">
        <v>1038.0833333333333</v>
      </c>
      <c r="BK6" s="81">
        <v>1038.0833333333333</v>
      </c>
      <c r="BL6" s="78">
        <v>1038.0833333333333</v>
      </c>
      <c r="BM6" s="78">
        <v>1038.0833333333333</v>
      </c>
      <c r="BN6" s="82">
        <v>1038.0833333333333</v>
      </c>
      <c r="BO6" s="82">
        <v>1038.0833333333333</v>
      </c>
      <c r="BP6" s="82">
        <v>1038.0833333333333</v>
      </c>
      <c r="BQ6" s="82">
        <v>1038.0833333333333</v>
      </c>
      <c r="BR6" s="82">
        <v>1038.0833333333333</v>
      </c>
      <c r="BS6" s="82">
        <v>1038.0833333333333</v>
      </c>
      <c r="BT6" s="82">
        <v>1038.0833333333333</v>
      </c>
      <c r="BU6" s="82">
        <v>1038.0833333333333</v>
      </c>
      <c r="BV6" s="83">
        <v>1038.0833333333333</v>
      </c>
      <c r="BW6" s="82">
        <v>1038.0833333333333</v>
      </c>
      <c r="BX6" s="82">
        <v>1038.0833333333333</v>
      </c>
      <c r="BY6" s="82">
        <v>1038.0833333333333</v>
      </c>
      <c r="BZ6" s="82">
        <v>1038.0833333333333</v>
      </c>
      <c r="CA6" s="82">
        <v>1038.0833333333333</v>
      </c>
      <c r="CB6" s="82">
        <v>1038.0833333333333</v>
      </c>
      <c r="CC6" s="82">
        <v>1038.0833333333333</v>
      </c>
      <c r="CD6" s="82">
        <v>1038.0833333333333</v>
      </c>
      <c r="CE6" s="82">
        <v>1038.0833333333333</v>
      </c>
      <c r="CF6" s="82">
        <v>1038.0833333333333</v>
      </c>
      <c r="CG6" s="82">
        <v>1038.0833333333333</v>
      </c>
      <c r="CH6" s="84">
        <v>1038.0833333333333</v>
      </c>
      <c r="CI6" s="85">
        <v>1038.0833333333333</v>
      </c>
      <c r="CJ6" s="82">
        <v>1038.0833333333333</v>
      </c>
      <c r="CK6" s="82">
        <v>1038.0833333333333</v>
      </c>
      <c r="CL6" s="70"/>
      <c r="CM6" s="70"/>
      <c r="CN6" s="70"/>
      <c r="CO6" s="70"/>
      <c r="CP6" s="70"/>
      <c r="CQ6" s="70"/>
      <c r="CR6" s="70"/>
      <c r="CS6" s="70"/>
      <c r="CT6" s="71"/>
      <c r="CU6" s="58">
        <f t="shared" si="0"/>
        <v>1498633.999999996</v>
      </c>
      <c r="CV6" s="52"/>
      <c r="CW6" s="52"/>
      <c r="CX6" s="52"/>
      <c r="CY6" s="52"/>
      <c r="CZ6" s="52"/>
      <c r="DA6" s="52"/>
      <c r="DB6" s="52"/>
    </row>
    <row r="7" spans="1:106" ht="12.5">
      <c r="A7" s="65">
        <v>2024</v>
      </c>
      <c r="B7" s="66" t="s">
        <v>80</v>
      </c>
      <c r="C7" s="66"/>
      <c r="D7" s="76" t="s">
        <v>90</v>
      </c>
      <c r="E7" s="66" t="s">
        <v>91</v>
      </c>
      <c r="F7" s="66">
        <v>36</v>
      </c>
      <c r="G7" s="54">
        <v>35165</v>
      </c>
      <c r="H7" s="54">
        <v>105495</v>
      </c>
      <c r="I7" s="52"/>
      <c r="J7" s="67" t="s">
        <v>92</v>
      </c>
      <c r="K7" s="70"/>
      <c r="L7" s="70"/>
      <c r="M7" s="71"/>
      <c r="N7" s="72"/>
      <c r="O7" s="70"/>
      <c r="P7" s="70"/>
      <c r="Q7" s="70"/>
      <c r="R7" s="70"/>
      <c r="S7" s="74">
        <v>2930.4166666666665</v>
      </c>
      <c r="T7" s="74">
        <v>2930.4166666666665</v>
      </c>
      <c r="U7" s="74">
        <v>2930.4166666666665</v>
      </c>
      <c r="V7" s="74">
        <v>2930.4166666666665</v>
      </c>
      <c r="W7" s="74">
        <v>2930.4166666666665</v>
      </c>
      <c r="X7" s="74">
        <v>2930.4166666666665</v>
      </c>
      <c r="Y7" s="75">
        <v>2930.4166666666665</v>
      </c>
      <c r="Z7" s="68">
        <v>2930.4166666666665</v>
      </c>
      <c r="AA7" s="74">
        <v>2930.4166666666665</v>
      </c>
      <c r="AB7" s="74">
        <v>2930.4166666666665</v>
      </c>
      <c r="AC7" s="74">
        <v>2930.4166666666665</v>
      </c>
      <c r="AD7" s="74">
        <v>2930.4166666666665</v>
      </c>
      <c r="AE7" s="74">
        <v>2930.4166666666665</v>
      </c>
      <c r="AF7" s="74">
        <v>2930.4166666666665</v>
      </c>
      <c r="AG7" s="74">
        <v>2930.4166666666665</v>
      </c>
      <c r="AH7" s="74">
        <v>2930.4166666666665</v>
      </c>
      <c r="AI7" s="74">
        <v>2930.4166666666665</v>
      </c>
      <c r="AJ7" s="74">
        <v>2930.4166666666665</v>
      </c>
      <c r="AK7" s="75">
        <v>2930.4166666666665</v>
      </c>
      <c r="AL7" s="68">
        <v>2930.4166666666665</v>
      </c>
      <c r="AM7" s="77">
        <v>4048078</v>
      </c>
      <c r="AN7" s="74">
        <v>2930.4166666666665</v>
      </c>
      <c r="AO7" s="74">
        <v>2930.4166666666665</v>
      </c>
      <c r="AP7" s="74">
        <v>2930.4166666666665</v>
      </c>
      <c r="AQ7" s="74">
        <v>2930.4166666666665</v>
      </c>
      <c r="AR7" s="74">
        <v>2930.4166666666665</v>
      </c>
      <c r="AS7" s="74">
        <v>2930.4166666666665</v>
      </c>
      <c r="AT7" s="74">
        <v>2930.4166666666665</v>
      </c>
      <c r="AU7" s="74">
        <v>2930.4166666666665</v>
      </c>
      <c r="AV7" s="74">
        <v>2930.4166666666665</v>
      </c>
      <c r="AW7" s="74">
        <v>2930.4166666666665</v>
      </c>
      <c r="AX7" s="75">
        <v>2930.4166666666665</v>
      </c>
      <c r="AY7" s="68">
        <v>2930.4166666666665</v>
      </c>
      <c r="AZ7" s="74">
        <v>2930.4166666666665</v>
      </c>
      <c r="BA7" s="74">
        <v>2930.4166666666665</v>
      </c>
      <c r="BB7" s="74">
        <v>2930.4166666666665</v>
      </c>
      <c r="BC7" s="74">
        <v>2930.4166666666665</v>
      </c>
      <c r="BD7" s="78">
        <v>2930.4166666666665</v>
      </c>
      <c r="BE7" s="78">
        <v>2930.4166666666665</v>
      </c>
      <c r="BF7" s="78">
        <v>2930.4166666666665</v>
      </c>
      <c r="BG7" s="78">
        <v>2930.4166666666665</v>
      </c>
      <c r="BH7" s="78">
        <v>2930.4166666666665</v>
      </c>
      <c r="BI7" s="78">
        <v>2930.4166666666665</v>
      </c>
      <c r="BJ7" s="78">
        <v>2930.4166666666665</v>
      </c>
      <c r="BK7" s="86">
        <v>2930.4166666666665</v>
      </c>
      <c r="BL7" s="78">
        <v>2930.4166666666665</v>
      </c>
      <c r="BM7" s="78">
        <v>2930.4166666666665</v>
      </c>
      <c r="BN7" s="78">
        <v>2930.4166666666665</v>
      </c>
      <c r="BO7" s="78">
        <v>2930.4166666666665</v>
      </c>
      <c r="BP7" s="78">
        <v>2930.4166666666665</v>
      </c>
      <c r="BQ7" s="78">
        <v>2930.4166666666665</v>
      </c>
      <c r="BR7" s="78">
        <v>2930.4166666666665</v>
      </c>
      <c r="BS7" s="78">
        <v>2930.4166666666665</v>
      </c>
      <c r="BT7" s="78">
        <v>2930.4166666666665</v>
      </c>
      <c r="BU7" s="78">
        <v>2930.4166666666665</v>
      </c>
      <c r="BV7" s="80">
        <v>2930.4166666666665</v>
      </c>
      <c r="BW7" s="86">
        <v>2930.4166666666665</v>
      </c>
      <c r="BX7" s="78">
        <v>2930.4166666666665</v>
      </c>
      <c r="BY7" s="78">
        <v>2930.4166666666665</v>
      </c>
      <c r="BZ7" s="78">
        <v>2930.4166666666665</v>
      </c>
      <c r="CA7" s="78">
        <v>2930.4166666666665</v>
      </c>
      <c r="CB7" s="78">
        <v>2930.4166666666665</v>
      </c>
      <c r="CC7" s="78">
        <v>2930.4166666666665</v>
      </c>
      <c r="CD7" s="78">
        <v>2930.4166666666665</v>
      </c>
      <c r="CE7" s="78">
        <v>2930.4166666666665</v>
      </c>
      <c r="CF7" s="78">
        <v>2930.4166666666665</v>
      </c>
      <c r="CG7" s="78">
        <v>2930.4166666666665</v>
      </c>
      <c r="CH7" s="80">
        <v>2930.4166666666665</v>
      </c>
      <c r="CI7" s="86">
        <v>2930.4166666666665</v>
      </c>
      <c r="CJ7" s="78">
        <v>2930.4166666666665</v>
      </c>
      <c r="CK7" s="78">
        <v>2930.4166666666665</v>
      </c>
      <c r="CL7" s="78">
        <v>2930.4166666666665</v>
      </c>
      <c r="CM7" s="78">
        <v>2930.4166666666665</v>
      </c>
      <c r="CN7" s="78">
        <v>2930.4166666666665</v>
      </c>
      <c r="CO7" s="70"/>
      <c r="CP7" s="70"/>
      <c r="CQ7" s="70"/>
      <c r="CR7" s="70"/>
      <c r="CS7" s="70"/>
      <c r="CT7" s="71"/>
      <c r="CU7" s="58">
        <f t="shared" si="0"/>
        <v>4261998.4166666698</v>
      </c>
      <c r="CV7" s="52"/>
      <c r="CW7" s="52"/>
      <c r="CX7" s="52"/>
      <c r="CY7" s="52"/>
      <c r="CZ7" s="52"/>
      <c r="DA7" s="52"/>
      <c r="DB7" s="52"/>
    </row>
    <row r="8" spans="1:106" ht="12.5">
      <c r="A8" s="65">
        <v>2024</v>
      </c>
      <c r="B8" s="66" t="s">
        <v>93</v>
      </c>
      <c r="C8" s="66" t="s">
        <v>94</v>
      </c>
      <c r="D8" s="66" t="s">
        <v>95</v>
      </c>
      <c r="E8" s="66" t="s">
        <v>96</v>
      </c>
      <c r="F8" s="67"/>
      <c r="G8" s="54"/>
      <c r="H8" s="54">
        <v>43820</v>
      </c>
      <c r="I8" s="52"/>
      <c r="J8" s="67" t="s">
        <v>97</v>
      </c>
      <c r="K8" s="70"/>
      <c r="L8" s="70"/>
      <c r="M8" s="71"/>
      <c r="N8" s="87"/>
      <c r="O8" s="70"/>
      <c r="P8" s="70"/>
      <c r="Q8" s="88"/>
      <c r="R8" s="70"/>
      <c r="S8" s="88" t="s">
        <v>98</v>
      </c>
      <c r="T8" s="74">
        <v>43820</v>
      </c>
      <c r="U8" s="89"/>
      <c r="V8" s="89"/>
      <c r="W8" s="89"/>
      <c r="X8" s="89"/>
      <c r="Y8" s="90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90"/>
      <c r="AL8" s="89"/>
      <c r="AM8" s="91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90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90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90"/>
      <c r="BW8" s="89"/>
      <c r="BX8" s="89"/>
      <c r="BY8" s="89"/>
      <c r="BZ8" s="92"/>
      <c r="CA8" s="70"/>
      <c r="CB8" s="70"/>
      <c r="CC8" s="70"/>
      <c r="CD8" s="70"/>
      <c r="CE8" s="70"/>
      <c r="CF8" s="70"/>
      <c r="CG8" s="70"/>
      <c r="CH8" s="71"/>
      <c r="CI8" s="5"/>
      <c r="CJ8" s="5"/>
      <c r="CK8" s="5"/>
      <c r="CL8" s="5"/>
      <c r="CM8" s="70"/>
      <c r="CN8" s="70"/>
      <c r="CO8" s="70"/>
      <c r="CP8" s="70"/>
      <c r="CQ8" s="70"/>
      <c r="CR8" s="70"/>
      <c r="CS8" s="70"/>
      <c r="CT8" s="71"/>
      <c r="CU8" s="58">
        <f t="shared" si="0"/>
        <v>43820</v>
      </c>
      <c r="CV8" s="52"/>
      <c r="CW8" s="52"/>
      <c r="CX8" s="52"/>
      <c r="CY8" s="52"/>
      <c r="CZ8" s="52"/>
      <c r="DA8" s="52"/>
      <c r="DB8" s="52"/>
    </row>
    <row r="9" spans="1:106" ht="12.5">
      <c r="A9" s="65">
        <v>2024</v>
      </c>
      <c r="B9" s="66" t="s">
        <v>80</v>
      </c>
      <c r="C9" s="66"/>
      <c r="D9" s="76" t="s">
        <v>99</v>
      </c>
      <c r="E9" s="66" t="s">
        <v>100</v>
      </c>
      <c r="F9" s="66">
        <v>12</v>
      </c>
      <c r="G9" s="54">
        <v>50512</v>
      </c>
      <c r="H9" s="54">
        <v>50512</v>
      </c>
      <c r="I9" s="52"/>
      <c r="J9" s="67" t="s">
        <v>101</v>
      </c>
      <c r="K9" s="70"/>
      <c r="L9" s="70"/>
      <c r="M9" s="71"/>
      <c r="N9" s="72"/>
      <c r="O9" s="70"/>
      <c r="P9" s="70"/>
      <c r="Q9" s="70"/>
      <c r="R9" s="74">
        <v>4209.333333333333</v>
      </c>
      <c r="S9" s="74">
        <v>4209.333333333333</v>
      </c>
      <c r="T9" s="74">
        <v>4209.333333333333</v>
      </c>
      <c r="U9" s="74">
        <v>4209.333333333333</v>
      </c>
      <c r="V9" s="74">
        <v>4209.333333333333</v>
      </c>
      <c r="W9" s="74">
        <v>4209.333333333333</v>
      </c>
      <c r="X9" s="74">
        <v>4209.333333333333</v>
      </c>
      <c r="Y9" s="75">
        <v>4209.333333333333</v>
      </c>
      <c r="Z9" s="68">
        <v>4209.333333333333</v>
      </c>
      <c r="AA9" s="74">
        <v>4209.333333333333</v>
      </c>
      <c r="AB9" s="74">
        <v>4209.333333333333</v>
      </c>
      <c r="AC9" s="74">
        <v>4209.333333333333</v>
      </c>
      <c r="AD9" s="93"/>
      <c r="AE9" s="93"/>
      <c r="AF9" s="93"/>
      <c r="AG9" s="93"/>
      <c r="AH9" s="93"/>
      <c r="AI9" s="93"/>
      <c r="AJ9" s="93"/>
      <c r="AK9" s="94"/>
      <c r="AL9" s="95"/>
      <c r="AM9" s="96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5"/>
      <c r="AZ9" s="93"/>
      <c r="BA9" s="93"/>
      <c r="BB9" s="93"/>
      <c r="BC9" s="78"/>
      <c r="BD9" s="78"/>
      <c r="BE9" s="78"/>
      <c r="BF9" s="78"/>
      <c r="BG9" s="78"/>
      <c r="BH9" s="78"/>
      <c r="BI9" s="78"/>
      <c r="BJ9" s="78"/>
      <c r="BK9" s="86"/>
      <c r="BL9" s="78">
        <v>4209.333333333333</v>
      </c>
      <c r="BM9" s="78">
        <v>4209.333333333333</v>
      </c>
      <c r="BN9" s="78">
        <v>4209.333333333333</v>
      </c>
      <c r="BO9" s="78">
        <v>4209.333333333333</v>
      </c>
      <c r="BP9" s="78">
        <v>4209.333333333333</v>
      </c>
      <c r="BQ9" s="78">
        <v>4209.333333333333</v>
      </c>
      <c r="BR9" s="78">
        <v>4209.333333333333</v>
      </c>
      <c r="BS9" s="78">
        <v>4209.333333333333</v>
      </c>
      <c r="BT9" s="78">
        <v>4209.333333333333</v>
      </c>
      <c r="BU9" s="78">
        <v>4209.333333333333</v>
      </c>
      <c r="BV9" s="80">
        <v>4209.333333333333</v>
      </c>
      <c r="BW9" s="86">
        <v>4209.333333333333</v>
      </c>
      <c r="BX9" s="78">
        <v>4209.333333333333</v>
      </c>
      <c r="BY9" s="78">
        <v>4209.333333333333</v>
      </c>
      <c r="BZ9" s="78">
        <v>4209.333333333333</v>
      </c>
      <c r="CA9" s="78">
        <v>4209.333333333333</v>
      </c>
      <c r="CB9" s="78">
        <v>4209.333333333333</v>
      </c>
      <c r="CC9" s="78">
        <v>4209.333333333333</v>
      </c>
      <c r="CD9" s="78">
        <v>4209.333333333333</v>
      </c>
      <c r="CE9" s="78">
        <v>4209.333333333333</v>
      </c>
      <c r="CF9" s="78">
        <v>4209.333333333333</v>
      </c>
      <c r="CG9" s="78">
        <v>4209.333333333333</v>
      </c>
      <c r="CH9" s="80">
        <v>4209.333333333333</v>
      </c>
      <c r="CI9" s="86">
        <v>4209.333333333333</v>
      </c>
      <c r="CJ9" s="78">
        <v>4209.333333333333</v>
      </c>
      <c r="CK9" s="78">
        <v>4209.333333333333</v>
      </c>
      <c r="CL9" s="78">
        <v>4209.333333333333</v>
      </c>
      <c r="CM9" s="70"/>
      <c r="CN9" s="70"/>
      <c r="CO9" s="70"/>
      <c r="CP9" s="70"/>
      <c r="CQ9" s="70"/>
      <c r="CR9" s="70"/>
      <c r="CS9" s="70"/>
      <c r="CT9" s="71"/>
      <c r="CU9" s="58">
        <f t="shared" si="0"/>
        <v>164164</v>
      </c>
      <c r="CV9" s="52"/>
      <c r="CW9" s="52"/>
      <c r="CX9" s="52"/>
      <c r="CY9" s="52"/>
      <c r="CZ9" s="52"/>
      <c r="DA9" s="52"/>
      <c r="DB9" s="52"/>
    </row>
    <row r="10" spans="1:106" ht="12.5">
      <c r="A10" s="97">
        <v>2024</v>
      </c>
      <c r="B10" s="98" t="s">
        <v>93</v>
      </c>
      <c r="C10" s="98"/>
      <c r="D10" s="98" t="s">
        <v>102</v>
      </c>
      <c r="E10" s="98" t="s">
        <v>103</v>
      </c>
      <c r="F10" s="98">
        <v>60</v>
      </c>
      <c r="G10" s="99">
        <v>12870</v>
      </c>
      <c r="H10" s="99">
        <v>64350</v>
      </c>
      <c r="I10" s="52"/>
      <c r="J10" s="67" t="s">
        <v>104</v>
      </c>
      <c r="K10" s="70"/>
      <c r="L10" s="70"/>
      <c r="M10" s="71"/>
      <c r="N10" s="72"/>
      <c r="O10" s="70"/>
      <c r="P10" s="70"/>
      <c r="Q10" s="70"/>
      <c r="R10" s="70"/>
      <c r="S10" s="70"/>
      <c r="T10" s="70"/>
      <c r="U10" s="74">
        <v>1072.5</v>
      </c>
      <c r="V10" s="74">
        <v>1072.5</v>
      </c>
      <c r="W10" s="74">
        <v>1072.5</v>
      </c>
      <c r="X10" s="74">
        <v>1072.5</v>
      </c>
      <c r="Y10" s="75">
        <v>1072.5</v>
      </c>
      <c r="Z10" s="68">
        <v>1072.5</v>
      </c>
      <c r="AA10" s="74">
        <v>1072.5</v>
      </c>
      <c r="AB10" s="74">
        <v>1072.5</v>
      </c>
      <c r="AC10" s="74">
        <v>1072.5</v>
      </c>
      <c r="AD10" s="74">
        <v>1072.5</v>
      </c>
      <c r="AE10" s="74">
        <v>1072.5</v>
      </c>
      <c r="AF10" s="74">
        <v>1072.5</v>
      </c>
      <c r="AG10" s="74">
        <v>1072.5</v>
      </c>
      <c r="AH10" s="74">
        <v>1072.5</v>
      </c>
      <c r="AI10" s="74">
        <v>1072.5</v>
      </c>
      <c r="AJ10" s="74">
        <v>1072.5</v>
      </c>
      <c r="AK10" s="75">
        <v>1072.5</v>
      </c>
      <c r="AL10" s="68">
        <v>1072.5</v>
      </c>
      <c r="AM10" s="100"/>
      <c r="AN10" s="74">
        <v>1072.5</v>
      </c>
      <c r="AO10" s="74">
        <v>1072.5</v>
      </c>
      <c r="AP10" s="74">
        <v>1072.5</v>
      </c>
      <c r="AQ10" s="74">
        <v>1072.5</v>
      </c>
      <c r="AR10" s="74">
        <v>1072.5</v>
      </c>
      <c r="AS10" s="74">
        <v>1072.5</v>
      </c>
      <c r="AT10" s="74">
        <v>1072.5</v>
      </c>
      <c r="AU10" s="74">
        <v>1072.5</v>
      </c>
      <c r="AV10" s="74">
        <v>1072.5</v>
      </c>
      <c r="AW10" s="74">
        <v>1072.5</v>
      </c>
      <c r="AX10" s="75">
        <v>1072.5</v>
      </c>
      <c r="AY10" s="68">
        <v>1072.5</v>
      </c>
      <c r="AZ10" s="74">
        <v>1072.5</v>
      </c>
      <c r="BA10" s="74">
        <v>1072.5</v>
      </c>
      <c r="BB10" s="74">
        <v>1072.5</v>
      </c>
      <c r="BC10" s="74">
        <v>1072.5</v>
      </c>
      <c r="BD10" s="74">
        <v>1072.5</v>
      </c>
      <c r="BE10" s="74">
        <v>1072.5</v>
      </c>
      <c r="BF10" s="74">
        <v>1072.5</v>
      </c>
      <c r="BG10" s="74">
        <v>1072.5</v>
      </c>
      <c r="BH10" s="74">
        <v>1072.5</v>
      </c>
      <c r="BI10" s="74">
        <v>1072.5</v>
      </c>
      <c r="BJ10" s="75">
        <v>1072.5</v>
      </c>
      <c r="BK10" s="68">
        <v>1072.5</v>
      </c>
      <c r="BL10" s="74">
        <v>1072.5</v>
      </c>
      <c r="BM10" s="74">
        <v>1072.5</v>
      </c>
      <c r="BN10" s="74">
        <v>1072.5</v>
      </c>
      <c r="BO10" s="74">
        <v>1072.5</v>
      </c>
      <c r="BP10" s="74">
        <v>1072.5</v>
      </c>
      <c r="BQ10" s="74">
        <v>1072.5</v>
      </c>
      <c r="BR10" s="74">
        <v>1072.5</v>
      </c>
      <c r="BS10" s="74">
        <v>1072.5</v>
      </c>
      <c r="BT10" s="74">
        <v>1072.5</v>
      </c>
      <c r="BU10" s="74">
        <v>1072.5</v>
      </c>
      <c r="BV10" s="75">
        <v>1072.5</v>
      </c>
      <c r="BW10" s="68">
        <v>1072.5</v>
      </c>
      <c r="BX10" s="74">
        <v>1072.5</v>
      </c>
      <c r="BY10" s="74">
        <v>1072.5</v>
      </c>
      <c r="BZ10" s="74">
        <v>1072.5</v>
      </c>
      <c r="CA10" s="74">
        <v>1072.5</v>
      </c>
      <c r="CB10" s="74">
        <v>1072.5</v>
      </c>
      <c r="CC10" s="74">
        <v>1072.5</v>
      </c>
      <c r="CD10" s="70"/>
      <c r="CE10" s="70"/>
      <c r="CF10" s="70"/>
      <c r="CG10" s="70"/>
      <c r="CH10" s="71"/>
      <c r="CI10" s="5"/>
      <c r="CJ10" s="5"/>
      <c r="CK10" s="5"/>
      <c r="CL10" s="5"/>
      <c r="CM10" s="5"/>
      <c r="CN10" s="5"/>
      <c r="CO10" s="5"/>
      <c r="CP10" s="70"/>
      <c r="CQ10" s="70"/>
      <c r="CR10" s="70"/>
      <c r="CS10" s="70"/>
      <c r="CT10" s="71"/>
      <c r="CU10" s="58">
        <f t="shared" si="0"/>
        <v>64350</v>
      </c>
      <c r="CV10" s="52"/>
      <c r="CW10" s="52"/>
      <c r="CX10" s="52"/>
      <c r="CY10" s="52"/>
      <c r="CZ10" s="52"/>
      <c r="DA10" s="52"/>
      <c r="DB10" s="52"/>
    </row>
    <row r="11" spans="1:106" ht="12.5">
      <c r="A11" s="65">
        <v>2024</v>
      </c>
      <c r="B11" s="101" t="s">
        <v>80</v>
      </c>
      <c r="C11" s="101"/>
      <c r="D11" s="102" t="s">
        <v>105</v>
      </c>
      <c r="E11" s="66" t="s">
        <v>106</v>
      </c>
      <c r="F11" s="66">
        <v>24</v>
      </c>
      <c r="G11" s="54">
        <v>14360</v>
      </c>
      <c r="H11" s="54">
        <v>28720</v>
      </c>
      <c r="I11" s="52"/>
      <c r="J11" s="67" t="s">
        <v>107</v>
      </c>
      <c r="K11" s="70"/>
      <c r="L11" s="70"/>
      <c r="M11" s="71"/>
      <c r="N11" s="72"/>
      <c r="O11" s="70"/>
      <c r="P11" s="70"/>
      <c r="Q11" s="70"/>
      <c r="R11" s="70"/>
      <c r="S11" s="70"/>
      <c r="T11" s="70"/>
      <c r="U11" s="70"/>
      <c r="V11" s="70"/>
      <c r="W11" s="70"/>
      <c r="X11" s="74">
        <v>1196.6666666666667</v>
      </c>
      <c r="Y11" s="75">
        <v>1196.6666666666667</v>
      </c>
      <c r="Z11" s="68">
        <v>1196.6666666666667</v>
      </c>
      <c r="AA11" s="74">
        <v>1196.6666666666667</v>
      </c>
      <c r="AB11" s="74">
        <v>1196.6666666666667</v>
      </c>
      <c r="AC11" s="74">
        <v>1196.6666666666667</v>
      </c>
      <c r="AD11" s="74">
        <v>1196.6666666666667</v>
      </c>
      <c r="AE11" s="74">
        <v>1196.6666666666667</v>
      </c>
      <c r="AF11" s="74">
        <v>1196.6666666666667</v>
      </c>
      <c r="AG11" s="74">
        <v>1196.6666666666667</v>
      </c>
      <c r="AH11" s="74">
        <v>1196.6666666666667</v>
      </c>
      <c r="AI11" s="74">
        <v>1196.6666666666667</v>
      </c>
      <c r="AJ11" s="74">
        <v>1196.6666666666667</v>
      </c>
      <c r="AK11" s="75">
        <v>1196.6666666666667</v>
      </c>
      <c r="AL11" s="68">
        <v>1196.6666666666667</v>
      </c>
      <c r="AM11" s="77">
        <v>1590094</v>
      </c>
      <c r="AN11" s="74">
        <v>1196.6666666666667</v>
      </c>
      <c r="AO11" s="74">
        <v>1196.6666666666667</v>
      </c>
      <c r="AP11" s="74">
        <v>1196.6666666666667</v>
      </c>
      <c r="AQ11" s="74">
        <v>1196.6666666666667</v>
      </c>
      <c r="AR11" s="74">
        <v>1196.6666666666667</v>
      </c>
      <c r="AS11" s="74">
        <v>1196.6666666666667</v>
      </c>
      <c r="AT11" s="74">
        <v>1196.6666666666667</v>
      </c>
      <c r="AU11" s="74">
        <v>1196.6666666666667</v>
      </c>
      <c r="AV11" s="74">
        <v>1196.6666666666667</v>
      </c>
      <c r="AW11" s="78">
        <v>1196.6666666666667</v>
      </c>
      <c r="AX11" s="80">
        <v>1196.6666666666667</v>
      </c>
      <c r="AY11" s="81">
        <v>1196.6666666666667</v>
      </c>
      <c r="AZ11" s="78">
        <v>1196.6666666666667</v>
      </c>
      <c r="BA11" s="78">
        <v>1196.6666666666667</v>
      </c>
      <c r="BB11" s="78">
        <v>1196.6666666666667</v>
      </c>
      <c r="BC11" s="78">
        <v>1196.6666666666667</v>
      </c>
      <c r="BD11" s="78">
        <v>1196.6666666666667</v>
      </c>
      <c r="BE11" s="78">
        <v>1196.6666666666667</v>
      </c>
      <c r="BF11" s="78">
        <v>1196.6666666666667</v>
      </c>
      <c r="BG11" s="78">
        <v>1196.6666666666667</v>
      </c>
      <c r="BH11" s="78">
        <v>1196.6666666666667</v>
      </c>
      <c r="BI11" s="78">
        <v>1196.6666666666667</v>
      </c>
      <c r="BJ11" s="80">
        <v>1196.6666666666667</v>
      </c>
      <c r="BK11" s="81">
        <v>1196.6666666666667</v>
      </c>
      <c r="BL11" s="78">
        <v>1196.6666666666667</v>
      </c>
      <c r="BM11" s="78">
        <v>1196.6666666666667</v>
      </c>
      <c r="BN11" s="78">
        <v>1196.6666666666667</v>
      </c>
      <c r="BO11" s="78">
        <v>1196.6666666666667</v>
      </c>
      <c r="BP11" s="78">
        <v>1196.6666666666667</v>
      </c>
      <c r="BQ11" s="78">
        <v>1196.6666666666667</v>
      </c>
      <c r="BR11" s="78">
        <v>1196.6666666666667</v>
      </c>
      <c r="BS11" s="78">
        <v>1196.6666666666667</v>
      </c>
      <c r="BT11" s="78">
        <v>1196.6666666666667</v>
      </c>
      <c r="BU11" s="70"/>
      <c r="BV11" s="71"/>
      <c r="BW11" s="72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1"/>
      <c r="CI11" s="72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1"/>
      <c r="CU11" s="58">
        <f t="shared" si="0"/>
        <v>1647534.0000000026</v>
      </c>
      <c r="CV11" s="52"/>
      <c r="CW11" s="52"/>
      <c r="CX11" s="52"/>
      <c r="CY11" s="52"/>
      <c r="CZ11" s="52"/>
      <c r="DA11" s="52"/>
      <c r="DB11" s="52"/>
    </row>
    <row r="12" spans="1:106" ht="12.5">
      <c r="A12" s="103">
        <v>2025</v>
      </c>
      <c r="B12" s="104" t="s">
        <v>80</v>
      </c>
      <c r="C12" s="104"/>
      <c r="D12" s="105" t="s">
        <v>108</v>
      </c>
      <c r="E12" s="104" t="s">
        <v>109</v>
      </c>
      <c r="F12" s="104">
        <v>36</v>
      </c>
      <c r="G12" s="106">
        <f t="shared" ref="G12:G13" si="1">H12/3</f>
        <v>4263.666666666667</v>
      </c>
      <c r="H12" s="106">
        <v>12791</v>
      </c>
      <c r="I12" s="52"/>
      <c r="J12" s="104" t="s">
        <v>110</v>
      </c>
      <c r="K12" s="107"/>
      <c r="L12" s="107"/>
      <c r="M12" s="108"/>
      <c r="N12" s="109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8"/>
      <c r="Z12" s="110"/>
      <c r="AA12" s="111"/>
      <c r="AB12" s="111"/>
      <c r="AC12" s="111"/>
      <c r="AD12" s="111"/>
      <c r="AE12" s="112">
        <v>355.30555555555554</v>
      </c>
      <c r="AF12" s="112">
        <v>355.30555555555554</v>
      </c>
      <c r="AG12" s="112">
        <v>355.30555555555554</v>
      </c>
      <c r="AH12" s="112">
        <v>355.30555555555554</v>
      </c>
      <c r="AI12" s="112">
        <v>355.30555555555554</v>
      </c>
      <c r="AJ12" s="112">
        <v>355.30555555555554</v>
      </c>
      <c r="AK12" s="113">
        <v>355.30555555555554</v>
      </c>
      <c r="AL12" s="114">
        <v>355.30555555555554</v>
      </c>
      <c r="AM12" s="115">
        <v>484980</v>
      </c>
      <c r="AN12" s="112">
        <v>355.30555555555554</v>
      </c>
      <c r="AO12" s="112">
        <v>355.30555555555554</v>
      </c>
      <c r="AP12" s="112">
        <v>355.30555555555554</v>
      </c>
      <c r="AQ12" s="112">
        <v>355.30555555555554</v>
      </c>
      <c r="AR12" s="112">
        <v>355.30555555555554</v>
      </c>
      <c r="AS12" s="112">
        <v>355.30555555555554</v>
      </c>
      <c r="AT12" s="112">
        <v>355.30555555555554</v>
      </c>
      <c r="AU12" s="112">
        <v>355.30555555555554</v>
      </c>
      <c r="AV12" s="112">
        <v>355.30555555555554</v>
      </c>
      <c r="AW12" s="112">
        <v>355.30555555555554</v>
      </c>
      <c r="AX12" s="113">
        <v>355.30555555555554</v>
      </c>
      <c r="AY12" s="114">
        <v>355.30555555555554</v>
      </c>
      <c r="AZ12" s="112">
        <v>355.30555555555554</v>
      </c>
      <c r="BA12" s="112">
        <v>355.30555555555554</v>
      </c>
      <c r="BB12" s="112">
        <v>355.30555555555554</v>
      </c>
      <c r="BC12" s="112">
        <v>355.30555555555554</v>
      </c>
      <c r="BD12" s="112">
        <v>355.30555555555554</v>
      </c>
      <c r="BE12" s="112">
        <v>355.30555555555554</v>
      </c>
      <c r="BF12" s="112">
        <v>355.30555555555554</v>
      </c>
      <c r="BG12" s="112">
        <v>355.30555555555554</v>
      </c>
      <c r="BH12" s="112">
        <v>355.30555555555554</v>
      </c>
      <c r="BI12" s="112">
        <v>355.30555555555554</v>
      </c>
      <c r="BJ12" s="113">
        <v>355.30555555555554</v>
      </c>
      <c r="BK12" s="114">
        <v>355.30555555555554</v>
      </c>
      <c r="BL12" s="112">
        <v>355.30555555555554</v>
      </c>
      <c r="BM12" s="112">
        <v>355.30555555555554</v>
      </c>
      <c r="BN12" s="112">
        <v>355.30555555555554</v>
      </c>
      <c r="BO12" s="112">
        <v>355.30555555555554</v>
      </c>
      <c r="BP12" s="116">
        <v>355.30555555555554</v>
      </c>
      <c r="BQ12" s="117">
        <v>355.30555555555554</v>
      </c>
      <c r="BR12" s="117">
        <v>355.30555555555554</v>
      </c>
      <c r="BS12" s="117">
        <v>355.30555555555554</v>
      </c>
      <c r="BT12" s="117">
        <v>355.30555555555554</v>
      </c>
      <c r="BU12" s="117">
        <v>355.30555555555554</v>
      </c>
      <c r="BV12" s="118">
        <v>355.30555555555554</v>
      </c>
      <c r="BW12" s="119">
        <v>355.30555555555554</v>
      </c>
      <c r="BX12" s="116">
        <v>355.30555555555554</v>
      </c>
      <c r="BY12" s="116">
        <v>355.30555555555554</v>
      </c>
      <c r="BZ12" s="116">
        <v>355.30555555555554</v>
      </c>
      <c r="CA12" s="116">
        <v>355.30555555555554</v>
      </c>
      <c r="CB12" s="116">
        <v>355.30555555555554</v>
      </c>
      <c r="CC12" s="116">
        <v>355.30555555555554</v>
      </c>
      <c r="CD12" s="116">
        <v>355.30555555555554</v>
      </c>
      <c r="CE12" s="116">
        <v>355.30555555555554</v>
      </c>
      <c r="CF12" s="116">
        <v>355.30555555555554</v>
      </c>
      <c r="CG12" s="116">
        <v>355.30555555555554</v>
      </c>
      <c r="CH12" s="118">
        <v>355.30555555555554</v>
      </c>
      <c r="CI12" s="119">
        <v>355.30555555555554</v>
      </c>
      <c r="CJ12" s="116">
        <v>355.30555555555554</v>
      </c>
      <c r="CK12" s="116">
        <v>355.30555555555554</v>
      </c>
      <c r="CL12" s="116">
        <v>355.30555555555554</v>
      </c>
      <c r="CM12" s="116">
        <v>355.30555555555554</v>
      </c>
      <c r="CN12" s="116">
        <v>355.30555555555554</v>
      </c>
      <c r="CO12" s="116">
        <v>355.30555555555554</v>
      </c>
      <c r="CP12" s="116">
        <v>355.30555555555554</v>
      </c>
      <c r="CQ12" s="116">
        <v>355.30555555555554</v>
      </c>
      <c r="CR12" s="116">
        <v>355.30555555555554</v>
      </c>
      <c r="CS12" s="116">
        <v>355.30555555555554</v>
      </c>
      <c r="CT12" s="118">
        <v>355.30555555555554</v>
      </c>
      <c r="CU12" s="58">
        <f t="shared" si="0"/>
        <v>508785.4722222226</v>
      </c>
      <c r="CV12" s="120"/>
      <c r="CW12" s="120"/>
      <c r="CX12" s="120"/>
      <c r="CY12" s="120"/>
      <c r="CZ12" s="120"/>
      <c r="DA12" s="120"/>
      <c r="DB12" s="120"/>
    </row>
    <row r="13" spans="1:106" ht="12.5">
      <c r="A13" s="121">
        <v>2025</v>
      </c>
      <c r="B13" s="122" t="s">
        <v>93</v>
      </c>
      <c r="C13" s="122"/>
      <c r="D13" s="122" t="s">
        <v>111</v>
      </c>
      <c r="E13" s="122" t="s">
        <v>109</v>
      </c>
      <c r="F13" s="122">
        <v>36</v>
      </c>
      <c r="G13" s="123">
        <f t="shared" si="1"/>
        <v>27885</v>
      </c>
      <c r="H13" s="123">
        <v>83655</v>
      </c>
      <c r="I13" s="52"/>
      <c r="J13" s="104" t="s">
        <v>112</v>
      </c>
      <c r="K13" s="107"/>
      <c r="L13" s="107"/>
      <c r="M13" s="108"/>
      <c r="N13" s="109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8"/>
      <c r="Z13" s="110"/>
      <c r="AA13" s="124"/>
      <c r="AB13" s="111"/>
      <c r="AC13" s="111"/>
      <c r="AD13" s="111"/>
      <c r="AE13" s="112">
        <v>2323.75</v>
      </c>
      <c r="AF13" s="112">
        <v>2323.75</v>
      </c>
      <c r="AG13" s="112">
        <v>2323.75</v>
      </c>
      <c r="AH13" s="112">
        <v>2323.75</v>
      </c>
      <c r="AI13" s="112">
        <v>2323.75</v>
      </c>
      <c r="AJ13" s="112">
        <v>2323.75</v>
      </c>
      <c r="AK13" s="113">
        <v>2323.75</v>
      </c>
      <c r="AL13" s="114">
        <v>2323.75</v>
      </c>
      <c r="AM13" s="125"/>
      <c r="AN13" s="112">
        <v>2323.75</v>
      </c>
      <c r="AO13" s="112">
        <v>2323.75</v>
      </c>
      <c r="AP13" s="112">
        <v>2323.75</v>
      </c>
      <c r="AQ13" s="112">
        <v>2323.75</v>
      </c>
      <c r="AR13" s="112">
        <v>2323.75</v>
      </c>
      <c r="AS13" s="112">
        <v>2323.75</v>
      </c>
      <c r="AT13" s="112">
        <v>2323.75</v>
      </c>
      <c r="AU13" s="112">
        <v>2323.75</v>
      </c>
      <c r="AV13" s="112">
        <v>2323.75</v>
      </c>
      <c r="AW13" s="112">
        <v>2323.75</v>
      </c>
      <c r="AX13" s="113">
        <v>2323.75</v>
      </c>
      <c r="AY13" s="114">
        <v>2323.75</v>
      </c>
      <c r="AZ13" s="112">
        <v>2323.75</v>
      </c>
      <c r="BA13" s="112">
        <v>2323.75</v>
      </c>
      <c r="BB13" s="112">
        <v>2323.75</v>
      </c>
      <c r="BC13" s="112">
        <v>2323.75</v>
      </c>
      <c r="BD13" s="112">
        <v>2323.75</v>
      </c>
      <c r="BE13" s="112">
        <v>2323.75</v>
      </c>
      <c r="BF13" s="112">
        <v>2323.75</v>
      </c>
      <c r="BG13" s="112">
        <v>2323.75</v>
      </c>
      <c r="BH13" s="112">
        <v>2323.75</v>
      </c>
      <c r="BI13" s="112">
        <v>2323.75</v>
      </c>
      <c r="BJ13" s="113">
        <v>2323.75</v>
      </c>
      <c r="BK13" s="114">
        <v>2323.75</v>
      </c>
      <c r="BL13" s="112">
        <v>2323.75</v>
      </c>
      <c r="BM13" s="112">
        <v>2323.75</v>
      </c>
      <c r="BN13" s="112">
        <v>2323.75</v>
      </c>
      <c r="BO13" s="112">
        <v>2323.75</v>
      </c>
      <c r="BP13" s="116">
        <v>2323.75</v>
      </c>
      <c r="BQ13" s="117">
        <v>2323.75</v>
      </c>
      <c r="BR13" s="117">
        <v>2323.75</v>
      </c>
      <c r="BS13" s="117">
        <v>2323.75</v>
      </c>
      <c r="BT13" s="117">
        <v>2323.75</v>
      </c>
      <c r="BU13" s="117">
        <v>2323.75</v>
      </c>
      <c r="BV13" s="118">
        <v>2323.75</v>
      </c>
      <c r="BW13" s="119">
        <v>2323.75</v>
      </c>
      <c r="BX13" s="116">
        <v>2323.75</v>
      </c>
      <c r="BY13" s="116">
        <v>2323.75</v>
      </c>
      <c r="BZ13" s="116">
        <v>2323.75</v>
      </c>
      <c r="CA13" s="116">
        <v>2323.75</v>
      </c>
      <c r="CB13" s="116">
        <v>2323.75</v>
      </c>
      <c r="CC13" s="116">
        <v>2323.75</v>
      </c>
      <c r="CD13" s="116">
        <v>2323.75</v>
      </c>
      <c r="CE13" s="116">
        <v>2323.75</v>
      </c>
      <c r="CF13" s="116">
        <v>2323.75</v>
      </c>
      <c r="CG13" s="116">
        <v>2323.75</v>
      </c>
      <c r="CH13" s="118">
        <v>2323.75</v>
      </c>
      <c r="CI13" s="119">
        <v>2323.75</v>
      </c>
      <c r="CJ13" s="116">
        <v>2323.75</v>
      </c>
      <c r="CK13" s="116">
        <v>2323.75</v>
      </c>
      <c r="CL13" s="116">
        <v>2323.75</v>
      </c>
      <c r="CM13" s="116">
        <v>2323.75</v>
      </c>
      <c r="CN13" s="116">
        <v>2323.75</v>
      </c>
      <c r="CO13" s="116">
        <v>2323.75</v>
      </c>
      <c r="CP13" s="116">
        <v>2323.75</v>
      </c>
      <c r="CQ13" s="116">
        <v>2323.75</v>
      </c>
      <c r="CR13" s="116">
        <v>2323.75</v>
      </c>
      <c r="CS13" s="116">
        <v>2323.75</v>
      </c>
      <c r="CT13" s="118">
        <v>2323.75</v>
      </c>
      <c r="CU13" s="58">
        <f t="shared" si="0"/>
        <v>155691.25</v>
      </c>
      <c r="CV13" s="120"/>
      <c r="CW13" s="120"/>
      <c r="CX13" s="120"/>
      <c r="CY13" s="120"/>
      <c r="CZ13" s="120"/>
      <c r="DA13" s="120"/>
      <c r="DB13" s="120"/>
    </row>
    <row r="14" spans="1:106" ht="12.5">
      <c r="A14" s="121">
        <v>2025</v>
      </c>
      <c r="B14" s="122" t="s">
        <v>93</v>
      </c>
      <c r="C14" s="122"/>
      <c r="D14" s="122" t="s">
        <v>113</v>
      </c>
      <c r="E14" s="122" t="s">
        <v>114</v>
      </c>
      <c r="F14" s="122">
        <v>60</v>
      </c>
      <c r="G14" s="123">
        <f>H14/5</f>
        <v>17597.599999999999</v>
      </c>
      <c r="H14" s="123">
        <v>87988</v>
      </c>
      <c r="I14" s="52"/>
      <c r="J14" s="104" t="s">
        <v>115</v>
      </c>
      <c r="K14" s="107"/>
      <c r="L14" s="107"/>
      <c r="M14" s="108"/>
      <c r="N14" s="109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8"/>
      <c r="Z14" s="110"/>
      <c r="AA14" s="111"/>
      <c r="AB14" s="111"/>
      <c r="AC14" s="111"/>
      <c r="AD14" s="111"/>
      <c r="AE14" s="112">
        <v>1466.4666666666667</v>
      </c>
      <c r="AF14" s="112">
        <v>1466.4666666666667</v>
      </c>
      <c r="AG14" s="112">
        <v>1466.4666666666667</v>
      </c>
      <c r="AH14" s="112">
        <v>1466.4666666666667</v>
      </c>
      <c r="AI14" s="112">
        <v>1466.4666666666667</v>
      </c>
      <c r="AJ14" s="112">
        <v>1466.4666666666667</v>
      </c>
      <c r="AK14" s="113">
        <v>1466.4666666666667</v>
      </c>
      <c r="AL14" s="114">
        <v>1466.4666666666667</v>
      </c>
      <c r="AM14" s="125"/>
      <c r="AN14" s="112">
        <v>1466.4666666666667</v>
      </c>
      <c r="AO14" s="112">
        <v>1466.4666666666667</v>
      </c>
      <c r="AP14" s="112">
        <v>1466.4666666666667</v>
      </c>
      <c r="AQ14" s="112">
        <v>1466.4666666666667</v>
      </c>
      <c r="AR14" s="112">
        <v>1466.4666666666667</v>
      </c>
      <c r="AS14" s="112">
        <v>1466.4666666666667</v>
      </c>
      <c r="AT14" s="112">
        <v>1466.4666666666667</v>
      </c>
      <c r="AU14" s="112">
        <v>1466.4666666666667</v>
      </c>
      <c r="AV14" s="112">
        <v>1466.4666666666667</v>
      </c>
      <c r="AW14" s="112">
        <v>1466.4666666666667</v>
      </c>
      <c r="AX14" s="113">
        <v>1466.4666666666667</v>
      </c>
      <c r="AY14" s="114">
        <v>1466.4666666666667</v>
      </c>
      <c r="AZ14" s="112">
        <v>1466.4666666666667</v>
      </c>
      <c r="BA14" s="112">
        <v>1466.4666666666667</v>
      </c>
      <c r="BB14" s="112">
        <v>1466.4666666666667</v>
      </c>
      <c r="BC14" s="112">
        <v>1466.4666666666667</v>
      </c>
      <c r="BD14" s="112">
        <v>1466.4666666666667</v>
      </c>
      <c r="BE14" s="112">
        <v>1466.4666666666667</v>
      </c>
      <c r="BF14" s="112">
        <v>1466.4666666666667</v>
      </c>
      <c r="BG14" s="112">
        <v>1466.4666666666667</v>
      </c>
      <c r="BH14" s="112">
        <v>1466.4666666666667</v>
      </c>
      <c r="BI14" s="112">
        <v>1466.4666666666667</v>
      </c>
      <c r="BJ14" s="113">
        <v>1466.4666666666667</v>
      </c>
      <c r="BK14" s="114">
        <v>1466.4666666666667</v>
      </c>
      <c r="BL14" s="112">
        <v>1466.4666666666667</v>
      </c>
      <c r="BM14" s="112">
        <v>1466.4666666666667</v>
      </c>
      <c r="BN14" s="112">
        <v>1466.4666666666667</v>
      </c>
      <c r="BO14" s="112">
        <v>1466.4666666666667</v>
      </c>
      <c r="BP14" s="112">
        <v>1466.4666666666667</v>
      </c>
      <c r="BQ14" s="112">
        <v>1466.4666666666667</v>
      </c>
      <c r="BR14" s="112">
        <v>1466.4666666666667</v>
      </c>
      <c r="BS14" s="112">
        <v>1466.4666666666667</v>
      </c>
      <c r="BT14" s="112">
        <v>1466.4666666666667</v>
      </c>
      <c r="BU14" s="112">
        <v>1466.4666666666667</v>
      </c>
      <c r="BV14" s="113">
        <v>1466.4666666666667</v>
      </c>
      <c r="BW14" s="114">
        <v>1466.4666666666667</v>
      </c>
      <c r="BX14" s="112">
        <v>1466.4666666666667</v>
      </c>
      <c r="BY14" s="112">
        <v>1466.4666666666667</v>
      </c>
      <c r="BZ14" s="112">
        <v>1466.4666666666667</v>
      </c>
      <c r="CA14" s="112">
        <v>1466.4666666666667</v>
      </c>
      <c r="CB14" s="112">
        <v>1466.4666666666667</v>
      </c>
      <c r="CC14" s="112">
        <v>1466.4666666666667</v>
      </c>
      <c r="CD14" s="112">
        <v>1466.4666666666667</v>
      </c>
      <c r="CE14" s="112">
        <v>1466.4666666666667</v>
      </c>
      <c r="CF14" s="112">
        <v>1466.4666666666667</v>
      </c>
      <c r="CG14" s="112">
        <v>1466.4666666666667</v>
      </c>
      <c r="CH14" s="113">
        <v>1466.4666666666667</v>
      </c>
      <c r="CI14" s="114">
        <v>1466.4666666666667</v>
      </c>
      <c r="CJ14" s="112">
        <v>1466.4666666666667</v>
      </c>
      <c r="CK14" s="112">
        <v>1466.4666666666667</v>
      </c>
      <c r="CL14" s="112">
        <v>1466.4666666666667</v>
      </c>
      <c r="CM14" s="112">
        <v>1466.4666666666667</v>
      </c>
      <c r="CN14" s="126"/>
      <c r="CO14" s="126"/>
      <c r="CP14" s="126"/>
      <c r="CQ14" s="126"/>
      <c r="CR14" s="126"/>
      <c r="CS14" s="126"/>
      <c r="CT14" s="127"/>
      <c r="CU14" s="58">
        <f t="shared" si="0"/>
        <v>87987.999999999913</v>
      </c>
      <c r="CV14" s="120"/>
      <c r="CW14" s="120"/>
      <c r="CX14" s="120"/>
      <c r="CY14" s="120"/>
      <c r="CZ14" s="120"/>
      <c r="DA14" s="120"/>
      <c r="DB14" s="120"/>
    </row>
    <row r="15" spans="1:106" ht="12.5">
      <c r="A15" s="121">
        <v>2025</v>
      </c>
      <c r="B15" s="122" t="s">
        <v>93</v>
      </c>
      <c r="C15" s="122"/>
      <c r="D15" s="122" t="s">
        <v>116</v>
      </c>
      <c r="E15" s="122" t="s">
        <v>117</v>
      </c>
      <c r="F15" s="122">
        <v>36</v>
      </c>
      <c r="G15" s="123">
        <v>8923.2000000000007</v>
      </c>
      <c r="H15" s="123">
        <v>26770</v>
      </c>
      <c r="I15" s="52"/>
      <c r="J15" s="104" t="s">
        <v>118</v>
      </c>
      <c r="K15" s="128"/>
      <c r="L15" s="107"/>
      <c r="M15" s="108"/>
      <c r="N15" s="109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8"/>
      <c r="Z15" s="110"/>
      <c r="AA15" s="111"/>
      <c r="AB15" s="111"/>
      <c r="AC15" s="111"/>
      <c r="AD15" s="111"/>
      <c r="AE15" s="112">
        <v>743.61111111111109</v>
      </c>
      <c r="AF15" s="112">
        <v>743.61111111111109</v>
      </c>
      <c r="AG15" s="112">
        <v>743.61111111111109</v>
      </c>
      <c r="AH15" s="112">
        <v>743.61111111111109</v>
      </c>
      <c r="AI15" s="112">
        <v>743.61111111111109</v>
      </c>
      <c r="AJ15" s="112">
        <v>743.61111111111109</v>
      </c>
      <c r="AK15" s="113">
        <v>743.61111111111109</v>
      </c>
      <c r="AL15" s="114">
        <v>743.61111111111109</v>
      </c>
      <c r="AM15" s="125"/>
      <c r="AN15" s="112">
        <v>743.61111111111109</v>
      </c>
      <c r="AO15" s="112">
        <v>743.61111111111109</v>
      </c>
      <c r="AP15" s="112">
        <v>743.61111111111109</v>
      </c>
      <c r="AQ15" s="112">
        <v>743.61111111111109</v>
      </c>
      <c r="AR15" s="112">
        <v>743.61111111111109</v>
      </c>
      <c r="AS15" s="112">
        <v>743.61111111111109</v>
      </c>
      <c r="AT15" s="112">
        <v>743.61111111111109</v>
      </c>
      <c r="AU15" s="112">
        <v>743.61111111111109</v>
      </c>
      <c r="AV15" s="112">
        <v>743.61111111111109</v>
      </c>
      <c r="AW15" s="112">
        <v>743.61111111111109</v>
      </c>
      <c r="AX15" s="113">
        <v>743.61111111111109</v>
      </c>
      <c r="AY15" s="114">
        <v>743.61111111111109</v>
      </c>
      <c r="AZ15" s="112">
        <v>743.61111111111109</v>
      </c>
      <c r="BA15" s="112">
        <v>743.61111111111109</v>
      </c>
      <c r="BB15" s="112">
        <v>743.61111111111109</v>
      </c>
      <c r="BC15" s="112">
        <v>743.61111111111109</v>
      </c>
      <c r="BD15" s="112">
        <v>743.61111111111109</v>
      </c>
      <c r="BE15" s="112">
        <v>743.61111111111109</v>
      </c>
      <c r="BF15" s="112">
        <v>743.61111111111109</v>
      </c>
      <c r="BG15" s="112">
        <v>743.61111111111109</v>
      </c>
      <c r="BH15" s="112">
        <v>743.61111111111109</v>
      </c>
      <c r="BI15" s="112">
        <v>743.61111111111109</v>
      </c>
      <c r="BJ15" s="113">
        <v>743.61111111111109</v>
      </c>
      <c r="BK15" s="114">
        <v>743.61111111111109</v>
      </c>
      <c r="BL15" s="112">
        <v>743.61111111111109</v>
      </c>
      <c r="BM15" s="112">
        <v>743.61111111111109</v>
      </c>
      <c r="BN15" s="112">
        <v>743.61111111111109</v>
      </c>
      <c r="BO15" s="112">
        <v>743.61111111111109</v>
      </c>
      <c r="BP15" s="116">
        <v>743.61111111111109</v>
      </c>
      <c r="BQ15" s="117">
        <v>743.61111111111109</v>
      </c>
      <c r="BR15" s="117">
        <v>743.61111111111109</v>
      </c>
      <c r="BS15" s="117">
        <v>743.61111111111109</v>
      </c>
      <c r="BT15" s="117">
        <v>743.61111111111109</v>
      </c>
      <c r="BU15" s="117">
        <v>743.61111111111109</v>
      </c>
      <c r="BV15" s="118">
        <v>743.61111111111109</v>
      </c>
      <c r="BW15" s="119">
        <v>743.61111111111109</v>
      </c>
      <c r="BX15" s="116">
        <v>743.61111111111109</v>
      </c>
      <c r="BY15" s="116">
        <v>743.61111111111109</v>
      </c>
      <c r="BZ15" s="116">
        <v>743.61111111111109</v>
      </c>
      <c r="CA15" s="116">
        <v>743.61111111111109</v>
      </c>
      <c r="CB15" s="116">
        <v>743.61111111111109</v>
      </c>
      <c r="CC15" s="116">
        <v>743.61111111111109</v>
      </c>
      <c r="CD15" s="116">
        <v>743.61111111111109</v>
      </c>
      <c r="CE15" s="116">
        <v>743.61111111111109</v>
      </c>
      <c r="CF15" s="116">
        <v>743.61111111111109</v>
      </c>
      <c r="CG15" s="116">
        <v>743.61111111111109</v>
      </c>
      <c r="CH15" s="118">
        <v>743.61111111111109</v>
      </c>
      <c r="CI15" s="119">
        <v>743.61111111111109</v>
      </c>
      <c r="CJ15" s="116">
        <v>743.61111111111109</v>
      </c>
      <c r="CK15" s="116">
        <v>743.61111111111109</v>
      </c>
      <c r="CL15" s="116">
        <v>743.61111111111109</v>
      </c>
      <c r="CM15" s="116">
        <v>743.61111111111109</v>
      </c>
      <c r="CN15" s="116">
        <v>743.61111111111109</v>
      </c>
      <c r="CO15" s="116">
        <v>743.61111111111109</v>
      </c>
      <c r="CP15" s="116">
        <v>743.61111111111109</v>
      </c>
      <c r="CQ15" s="116">
        <v>743.61111111111109</v>
      </c>
      <c r="CR15" s="116">
        <v>743.61111111111109</v>
      </c>
      <c r="CS15" s="116">
        <v>743.61111111111109</v>
      </c>
      <c r="CT15" s="118">
        <v>743.61111111111109</v>
      </c>
      <c r="CU15" s="58">
        <f t="shared" si="0"/>
        <v>49821.94444444438</v>
      </c>
      <c r="CV15" s="52"/>
      <c r="CW15" s="52"/>
      <c r="CX15" s="52"/>
      <c r="CY15" s="52"/>
      <c r="CZ15" s="52"/>
      <c r="DA15" s="52"/>
      <c r="DB15" s="52"/>
    </row>
    <row r="16" spans="1:106" ht="12.5">
      <c r="A16" s="103">
        <v>2025</v>
      </c>
      <c r="B16" s="104" t="s">
        <v>80</v>
      </c>
      <c r="C16" s="104" t="s">
        <v>94</v>
      </c>
      <c r="D16" s="105" t="s">
        <v>119</v>
      </c>
      <c r="E16" s="104" t="s">
        <v>120</v>
      </c>
      <c r="F16" s="104">
        <v>36</v>
      </c>
      <c r="G16" s="106">
        <v>4158</v>
      </c>
      <c r="H16" s="106">
        <v>12474</v>
      </c>
      <c r="I16" s="52"/>
      <c r="J16" s="104" t="s">
        <v>121</v>
      </c>
      <c r="K16" s="128"/>
      <c r="L16" s="107"/>
      <c r="M16" s="108"/>
      <c r="N16" s="109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8"/>
      <c r="Z16" s="110"/>
      <c r="AA16" s="111"/>
      <c r="AB16" s="111"/>
      <c r="AC16" s="111"/>
      <c r="AD16" s="111"/>
      <c r="AE16" s="111"/>
      <c r="AF16" s="112">
        <v>346.5</v>
      </c>
      <c r="AG16" s="112">
        <v>346.5</v>
      </c>
      <c r="AH16" s="112">
        <v>346.5</v>
      </c>
      <c r="AI16" s="112">
        <v>346.5</v>
      </c>
      <c r="AJ16" s="112">
        <v>346.5</v>
      </c>
      <c r="AK16" s="113">
        <v>346.5</v>
      </c>
      <c r="AL16" s="114">
        <v>346.5</v>
      </c>
      <c r="AM16" s="115">
        <f>393913+39391+39391</f>
        <v>472695</v>
      </c>
      <c r="AN16" s="112">
        <v>346.5</v>
      </c>
      <c r="AO16" s="112">
        <v>346.5</v>
      </c>
      <c r="AP16" s="112">
        <v>346.5</v>
      </c>
      <c r="AQ16" s="112">
        <v>346.5</v>
      </c>
      <c r="AR16" s="112">
        <v>346.5</v>
      </c>
      <c r="AS16" s="112">
        <v>346.5</v>
      </c>
      <c r="AT16" s="112">
        <v>346.5</v>
      </c>
      <c r="AU16" s="112">
        <v>346.5</v>
      </c>
      <c r="AV16" s="112">
        <v>346.5</v>
      </c>
      <c r="AW16" s="112">
        <v>346.5</v>
      </c>
      <c r="AX16" s="113">
        <v>346.5</v>
      </c>
      <c r="AY16" s="114">
        <v>346.5</v>
      </c>
      <c r="AZ16" s="112">
        <v>346.5</v>
      </c>
      <c r="BA16" s="112">
        <v>346.5</v>
      </c>
      <c r="BB16" s="112">
        <v>346.5</v>
      </c>
      <c r="BC16" s="112">
        <v>346.5</v>
      </c>
      <c r="BD16" s="112">
        <v>346.5</v>
      </c>
      <c r="BE16" s="112">
        <v>346.5</v>
      </c>
      <c r="BF16" s="112">
        <v>346.5</v>
      </c>
      <c r="BG16" s="112">
        <v>346.5</v>
      </c>
      <c r="BH16" s="112">
        <v>346.5</v>
      </c>
      <c r="BI16" s="112">
        <v>346.5</v>
      </c>
      <c r="BJ16" s="113">
        <v>346.5</v>
      </c>
      <c r="BK16" s="114">
        <v>346.5</v>
      </c>
      <c r="BL16" s="112">
        <v>346.5</v>
      </c>
      <c r="BM16" s="112">
        <v>346.5</v>
      </c>
      <c r="BN16" s="112">
        <v>346.5</v>
      </c>
      <c r="BO16" s="112">
        <v>346.5</v>
      </c>
      <c r="BP16" s="112">
        <v>346.5</v>
      </c>
      <c r="BQ16" s="116">
        <v>346.5</v>
      </c>
      <c r="BR16" s="117">
        <v>346.5</v>
      </c>
      <c r="BS16" s="117">
        <v>346.5</v>
      </c>
      <c r="BT16" s="117">
        <v>346.5</v>
      </c>
      <c r="BU16" s="117">
        <v>346.5</v>
      </c>
      <c r="BV16" s="118">
        <v>346.5</v>
      </c>
      <c r="BW16" s="119">
        <v>346.5</v>
      </c>
      <c r="BX16" s="116">
        <v>346.5</v>
      </c>
      <c r="BY16" s="116">
        <v>346.5</v>
      </c>
      <c r="BZ16" s="116">
        <v>346.5</v>
      </c>
      <c r="CA16" s="116">
        <v>346.5</v>
      </c>
      <c r="CB16" s="116">
        <v>346.5</v>
      </c>
      <c r="CC16" s="116">
        <v>346.5</v>
      </c>
      <c r="CD16" s="116">
        <v>346.5</v>
      </c>
      <c r="CE16" s="116">
        <v>346.5</v>
      </c>
      <c r="CF16" s="116">
        <v>346.5</v>
      </c>
      <c r="CG16" s="116">
        <v>346.5</v>
      </c>
      <c r="CH16" s="118">
        <v>346.5</v>
      </c>
      <c r="CI16" s="119">
        <v>346.5</v>
      </c>
      <c r="CJ16" s="116">
        <v>346.5</v>
      </c>
      <c r="CK16" s="116">
        <v>346.5</v>
      </c>
      <c r="CL16" s="116">
        <v>346.5</v>
      </c>
      <c r="CM16" s="116">
        <v>346.5</v>
      </c>
      <c r="CN16" s="116">
        <v>346.5</v>
      </c>
      <c r="CO16" s="116">
        <v>346.5</v>
      </c>
      <c r="CP16" s="116">
        <v>346.5</v>
      </c>
      <c r="CQ16" s="116">
        <v>346.5</v>
      </c>
      <c r="CR16" s="116">
        <v>346.5</v>
      </c>
      <c r="CS16" s="116">
        <v>346.5</v>
      </c>
      <c r="CT16" s="118">
        <v>346.5</v>
      </c>
      <c r="CU16" s="58">
        <f t="shared" si="0"/>
        <v>495564</v>
      </c>
      <c r="CV16" s="52"/>
      <c r="CW16" s="52"/>
      <c r="CX16" s="52"/>
      <c r="CY16" s="52"/>
      <c r="CZ16" s="52"/>
      <c r="DA16" s="52"/>
      <c r="DB16" s="52"/>
    </row>
    <row r="17" spans="1:106" ht="12.5">
      <c r="A17" s="103">
        <v>2025</v>
      </c>
      <c r="B17" s="104" t="s">
        <v>80</v>
      </c>
      <c r="C17" s="104" t="s">
        <v>94</v>
      </c>
      <c r="D17" s="105" t="s">
        <v>122</v>
      </c>
      <c r="E17" s="104" t="s">
        <v>123</v>
      </c>
      <c r="F17" s="104">
        <v>36</v>
      </c>
      <c r="G17" s="106">
        <v>4455</v>
      </c>
      <c r="H17" s="106">
        <v>13365</v>
      </c>
      <c r="I17" s="52"/>
      <c r="J17" s="104" t="s">
        <v>124</v>
      </c>
      <c r="K17" s="128"/>
      <c r="L17" s="107"/>
      <c r="M17" s="108"/>
      <c r="N17" s="109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8"/>
      <c r="Z17" s="110"/>
      <c r="AA17" s="111"/>
      <c r="AB17" s="111"/>
      <c r="AC17" s="111"/>
      <c r="AD17" s="111"/>
      <c r="AE17" s="111"/>
      <c r="AF17" s="111"/>
      <c r="AG17" s="112">
        <v>371.25</v>
      </c>
      <c r="AH17" s="112">
        <v>371.25</v>
      </c>
      <c r="AI17" s="112">
        <v>371.25</v>
      </c>
      <c r="AJ17" s="112">
        <v>371.25</v>
      </c>
      <c r="AK17" s="113">
        <v>371.25</v>
      </c>
      <c r="AL17" s="114">
        <v>371.25</v>
      </c>
      <c r="AM17" s="115">
        <f>518153</f>
        <v>518153</v>
      </c>
      <c r="AN17" s="112">
        <v>371.25</v>
      </c>
      <c r="AO17" s="112">
        <v>371.25</v>
      </c>
      <c r="AP17" s="112">
        <v>371.25</v>
      </c>
      <c r="AQ17" s="112">
        <v>371.25</v>
      </c>
      <c r="AR17" s="112">
        <v>371.25</v>
      </c>
      <c r="AS17" s="112">
        <v>371.25</v>
      </c>
      <c r="AT17" s="112">
        <v>371.25</v>
      </c>
      <c r="AU17" s="112">
        <v>371.25</v>
      </c>
      <c r="AV17" s="112">
        <v>371.25</v>
      </c>
      <c r="AW17" s="112">
        <v>371.25</v>
      </c>
      <c r="AX17" s="113">
        <v>371.25</v>
      </c>
      <c r="AY17" s="114">
        <v>371.25</v>
      </c>
      <c r="AZ17" s="112">
        <v>371.25</v>
      </c>
      <c r="BA17" s="112">
        <v>371.25</v>
      </c>
      <c r="BB17" s="112">
        <v>371.25</v>
      </c>
      <c r="BC17" s="112">
        <v>371.25</v>
      </c>
      <c r="BD17" s="112">
        <v>371.25</v>
      </c>
      <c r="BE17" s="112">
        <v>371.25</v>
      </c>
      <c r="BF17" s="112">
        <v>371.25</v>
      </c>
      <c r="BG17" s="112">
        <v>371.25</v>
      </c>
      <c r="BH17" s="112">
        <v>371.25</v>
      </c>
      <c r="BI17" s="112">
        <v>371.25</v>
      </c>
      <c r="BJ17" s="113">
        <v>371.25</v>
      </c>
      <c r="BK17" s="114">
        <v>371.25</v>
      </c>
      <c r="BL17" s="112">
        <v>371.25</v>
      </c>
      <c r="BM17" s="112">
        <v>371.25</v>
      </c>
      <c r="BN17" s="112">
        <v>371.25</v>
      </c>
      <c r="BO17" s="112">
        <v>371.25</v>
      </c>
      <c r="BP17" s="112">
        <v>371.25</v>
      </c>
      <c r="BQ17" s="112">
        <v>371.25</v>
      </c>
      <c r="BR17" s="116">
        <v>371.25</v>
      </c>
      <c r="BS17" s="117">
        <v>371.25</v>
      </c>
      <c r="BT17" s="117">
        <v>371.25</v>
      </c>
      <c r="BU17" s="117">
        <v>371.25</v>
      </c>
      <c r="BV17" s="118">
        <v>371.25</v>
      </c>
      <c r="BW17" s="129">
        <v>371.25</v>
      </c>
      <c r="BX17" s="117">
        <v>371.25</v>
      </c>
      <c r="BY17" s="117">
        <v>371.25</v>
      </c>
      <c r="BZ17" s="117">
        <v>371.25</v>
      </c>
      <c r="CA17" s="117">
        <v>371.25</v>
      </c>
      <c r="CB17" s="117">
        <v>371.25</v>
      </c>
      <c r="CC17" s="117">
        <v>371.25</v>
      </c>
      <c r="CD17" s="117">
        <v>371.25</v>
      </c>
      <c r="CE17" s="116">
        <v>371.25</v>
      </c>
      <c r="CF17" s="116">
        <v>371.25</v>
      </c>
      <c r="CG17" s="116">
        <v>371.25</v>
      </c>
      <c r="CH17" s="118">
        <v>371.25</v>
      </c>
      <c r="CI17" s="119">
        <v>371.25</v>
      </c>
      <c r="CJ17" s="116">
        <v>371.25</v>
      </c>
      <c r="CK17" s="116">
        <v>371.25</v>
      </c>
      <c r="CL17" s="116">
        <v>371.25</v>
      </c>
      <c r="CM17" s="116">
        <v>371.25</v>
      </c>
      <c r="CN17" s="116">
        <v>371.25</v>
      </c>
      <c r="CO17" s="116">
        <v>371.25</v>
      </c>
      <c r="CP17" s="116">
        <v>371.25</v>
      </c>
      <c r="CQ17" s="116">
        <v>371.25</v>
      </c>
      <c r="CR17" s="116">
        <v>371.25</v>
      </c>
      <c r="CS17" s="116">
        <v>371.25</v>
      </c>
      <c r="CT17" s="118">
        <v>371.25</v>
      </c>
      <c r="CU17" s="58">
        <f t="shared" si="0"/>
        <v>542284.25</v>
      </c>
      <c r="CV17" s="52"/>
      <c r="CW17" s="52"/>
      <c r="CX17" s="52"/>
      <c r="CY17" s="52"/>
      <c r="CZ17" s="52"/>
      <c r="DA17" s="52"/>
      <c r="DB17" s="52"/>
    </row>
    <row r="18" spans="1:106" ht="12.5">
      <c r="A18" s="121">
        <v>2025</v>
      </c>
      <c r="B18" s="122" t="s">
        <v>125</v>
      </c>
      <c r="C18" s="122"/>
      <c r="D18" s="122" t="s">
        <v>126</v>
      </c>
      <c r="E18" s="122" t="s">
        <v>127</v>
      </c>
      <c r="F18" s="122">
        <v>60</v>
      </c>
      <c r="G18" s="123">
        <f t="shared" ref="G18:G20" si="2">H18/5</f>
        <v>4928.3999999999996</v>
      </c>
      <c r="H18" s="123">
        <v>24642</v>
      </c>
      <c r="I18" s="130"/>
      <c r="J18" s="104" t="s">
        <v>128</v>
      </c>
      <c r="K18" s="128"/>
      <c r="L18" s="107"/>
      <c r="M18" s="108"/>
      <c r="N18" s="131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3"/>
      <c r="Z18" s="131"/>
      <c r="AA18" s="132"/>
      <c r="AB18" s="132"/>
      <c r="AC18" s="132"/>
      <c r="AD18" s="132"/>
      <c r="AE18" s="132"/>
      <c r="AF18" s="132"/>
      <c r="AG18" s="134"/>
      <c r="AH18" s="135">
        <v>410.7</v>
      </c>
      <c r="AI18" s="135">
        <v>410.7</v>
      </c>
      <c r="AJ18" s="135">
        <v>410.7</v>
      </c>
      <c r="AK18" s="136">
        <v>410.7</v>
      </c>
      <c r="AL18" s="137">
        <v>410.7</v>
      </c>
      <c r="AM18" s="138"/>
      <c r="AN18" s="135">
        <v>410.7</v>
      </c>
      <c r="AO18" s="135">
        <v>410.7</v>
      </c>
      <c r="AP18" s="135">
        <v>410.7</v>
      </c>
      <c r="AQ18" s="135">
        <v>410.7</v>
      </c>
      <c r="AR18" s="135">
        <v>410.7</v>
      </c>
      <c r="AS18" s="135">
        <v>410.7</v>
      </c>
      <c r="AT18" s="135">
        <v>410.7</v>
      </c>
      <c r="AU18" s="135">
        <v>410.7</v>
      </c>
      <c r="AV18" s="135">
        <v>410.7</v>
      </c>
      <c r="AW18" s="135">
        <v>410.7</v>
      </c>
      <c r="AX18" s="136">
        <v>410.7</v>
      </c>
      <c r="AY18" s="137">
        <v>410.7</v>
      </c>
      <c r="AZ18" s="135">
        <v>410.7</v>
      </c>
      <c r="BA18" s="135">
        <v>410.7</v>
      </c>
      <c r="BB18" s="135">
        <v>410.7</v>
      </c>
      <c r="BC18" s="135">
        <v>410.7</v>
      </c>
      <c r="BD18" s="135">
        <v>410.7</v>
      </c>
      <c r="BE18" s="135">
        <v>410.7</v>
      </c>
      <c r="BF18" s="135">
        <v>410.7</v>
      </c>
      <c r="BG18" s="135">
        <v>410.7</v>
      </c>
      <c r="BH18" s="135">
        <v>410.7</v>
      </c>
      <c r="BI18" s="135">
        <v>410.7</v>
      </c>
      <c r="BJ18" s="136">
        <v>410.7</v>
      </c>
      <c r="BK18" s="137">
        <v>410.7</v>
      </c>
      <c r="BL18" s="135">
        <v>410.7</v>
      </c>
      <c r="BM18" s="135">
        <v>410.7</v>
      </c>
      <c r="BN18" s="135">
        <v>410.7</v>
      </c>
      <c r="BO18" s="135">
        <v>410.7</v>
      </c>
      <c r="BP18" s="135">
        <v>410.7</v>
      </c>
      <c r="BQ18" s="135">
        <v>410.7</v>
      </c>
      <c r="BR18" s="135">
        <v>410.7</v>
      </c>
      <c r="BS18" s="135">
        <v>410.7</v>
      </c>
      <c r="BT18" s="135">
        <v>410.7</v>
      </c>
      <c r="BU18" s="135">
        <v>410.7</v>
      </c>
      <c r="BV18" s="136">
        <v>410.7</v>
      </c>
      <c r="BW18" s="139">
        <v>410.7</v>
      </c>
      <c r="BX18" s="135">
        <v>410.7</v>
      </c>
      <c r="BY18" s="135">
        <v>410.7</v>
      </c>
      <c r="BZ18" s="135">
        <v>410.7</v>
      </c>
      <c r="CA18" s="135">
        <v>410.7</v>
      </c>
      <c r="CB18" s="135">
        <v>410.7</v>
      </c>
      <c r="CC18" s="135">
        <v>410.7</v>
      </c>
      <c r="CD18" s="135">
        <v>410.7</v>
      </c>
      <c r="CE18" s="135">
        <v>410.7</v>
      </c>
      <c r="CF18" s="135">
        <v>410.7</v>
      </c>
      <c r="CG18" s="135">
        <v>410.7</v>
      </c>
      <c r="CH18" s="136">
        <v>410.7</v>
      </c>
      <c r="CI18" s="137">
        <v>410.7</v>
      </c>
      <c r="CJ18" s="135">
        <v>410.7</v>
      </c>
      <c r="CK18" s="135">
        <v>410.7</v>
      </c>
      <c r="CL18" s="135">
        <v>410.7</v>
      </c>
      <c r="CM18" s="135">
        <v>410.7</v>
      </c>
      <c r="CN18" s="135">
        <v>410.7</v>
      </c>
      <c r="CO18" s="135">
        <v>410.7</v>
      </c>
      <c r="CP18" s="135">
        <v>410.7</v>
      </c>
      <c r="CQ18" s="140"/>
      <c r="CR18" s="141"/>
      <c r="CS18" s="141"/>
      <c r="CT18" s="133"/>
      <c r="CU18" s="58">
        <f t="shared" si="0"/>
        <v>24642.000000000025</v>
      </c>
      <c r="CV18" s="130"/>
      <c r="CW18" s="130"/>
      <c r="CX18" s="130"/>
      <c r="CY18" s="130"/>
      <c r="CZ18" s="130"/>
      <c r="DA18" s="130"/>
      <c r="DB18" s="130"/>
    </row>
    <row r="19" spans="1:106" ht="12.5">
      <c r="A19" s="103">
        <v>2025</v>
      </c>
      <c r="B19" s="104" t="s">
        <v>80</v>
      </c>
      <c r="C19" s="104" t="s">
        <v>94</v>
      </c>
      <c r="D19" s="105" t="s">
        <v>129</v>
      </c>
      <c r="E19" s="104" t="s">
        <v>127</v>
      </c>
      <c r="F19" s="104">
        <v>60</v>
      </c>
      <c r="G19" s="106">
        <f t="shared" si="2"/>
        <v>5068.8</v>
      </c>
      <c r="H19" s="106">
        <v>25344</v>
      </c>
      <c r="I19" s="120"/>
      <c r="J19" s="142" t="s">
        <v>130</v>
      </c>
      <c r="K19" s="128"/>
      <c r="L19" s="107"/>
      <c r="M19" s="108"/>
      <c r="N19" s="109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8"/>
      <c r="Z19" s="110"/>
      <c r="AA19" s="111"/>
      <c r="AB19" s="111"/>
      <c r="AC19" s="111"/>
      <c r="AD19" s="111"/>
      <c r="AE19" s="111"/>
      <c r="AF19" s="111"/>
      <c r="AG19" s="143"/>
      <c r="AH19" s="135">
        <f t="shared" ref="AH19:AL19" si="3">$H$19/60</f>
        <v>422.4</v>
      </c>
      <c r="AI19" s="135">
        <f t="shared" si="3"/>
        <v>422.4</v>
      </c>
      <c r="AJ19" s="135">
        <f t="shared" si="3"/>
        <v>422.4</v>
      </c>
      <c r="AK19" s="135">
        <f t="shared" si="3"/>
        <v>422.4</v>
      </c>
      <c r="AL19" s="139">
        <f t="shared" si="3"/>
        <v>422.4</v>
      </c>
      <c r="AM19" s="144">
        <v>592287</v>
      </c>
      <c r="AN19" s="135">
        <f t="shared" ref="AN19:CP19" si="4">$H$19/60</f>
        <v>422.4</v>
      </c>
      <c r="AO19" s="135">
        <f t="shared" si="4"/>
        <v>422.4</v>
      </c>
      <c r="AP19" s="135">
        <f t="shared" si="4"/>
        <v>422.4</v>
      </c>
      <c r="AQ19" s="135">
        <f t="shared" si="4"/>
        <v>422.4</v>
      </c>
      <c r="AR19" s="135">
        <f t="shared" si="4"/>
        <v>422.4</v>
      </c>
      <c r="AS19" s="135">
        <f t="shared" si="4"/>
        <v>422.4</v>
      </c>
      <c r="AT19" s="135">
        <f t="shared" si="4"/>
        <v>422.4</v>
      </c>
      <c r="AU19" s="135">
        <f t="shared" si="4"/>
        <v>422.4</v>
      </c>
      <c r="AV19" s="135">
        <f t="shared" si="4"/>
        <v>422.4</v>
      </c>
      <c r="AW19" s="135">
        <f t="shared" si="4"/>
        <v>422.4</v>
      </c>
      <c r="AX19" s="135">
        <f t="shared" si="4"/>
        <v>422.4</v>
      </c>
      <c r="AY19" s="139">
        <f t="shared" si="4"/>
        <v>422.4</v>
      </c>
      <c r="AZ19" s="135">
        <f t="shared" si="4"/>
        <v>422.4</v>
      </c>
      <c r="BA19" s="135">
        <f t="shared" si="4"/>
        <v>422.4</v>
      </c>
      <c r="BB19" s="135">
        <f t="shared" si="4"/>
        <v>422.4</v>
      </c>
      <c r="BC19" s="135">
        <f t="shared" si="4"/>
        <v>422.4</v>
      </c>
      <c r="BD19" s="135">
        <f t="shared" si="4"/>
        <v>422.4</v>
      </c>
      <c r="BE19" s="135">
        <f t="shared" si="4"/>
        <v>422.4</v>
      </c>
      <c r="BF19" s="135">
        <f t="shared" si="4"/>
        <v>422.4</v>
      </c>
      <c r="BG19" s="135">
        <f t="shared" si="4"/>
        <v>422.4</v>
      </c>
      <c r="BH19" s="135">
        <f t="shared" si="4"/>
        <v>422.4</v>
      </c>
      <c r="BI19" s="135">
        <f t="shared" si="4"/>
        <v>422.4</v>
      </c>
      <c r="BJ19" s="135">
        <f t="shared" si="4"/>
        <v>422.4</v>
      </c>
      <c r="BK19" s="139">
        <f t="shared" si="4"/>
        <v>422.4</v>
      </c>
      <c r="BL19" s="135">
        <f t="shared" si="4"/>
        <v>422.4</v>
      </c>
      <c r="BM19" s="135">
        <f t="shared" si="4"/>
        <v>422.4</v>
      </c>
      <c r="BN19" s="135">
        <f t="shared" si="4"/>
        <v>422.4</v>
      </c>
      <c r="BO19" s="135">
        <f t="shared" si="4"/>
        <v>422.4</v>
      </c>
      <c r="BP19" s="135">
        <f t="shared" si="4"/>
        <v>422.4</v>
      </c>
      <c r="BQ19" s="135">
        <f t="shared" si="4"/>
        <v>422.4</v>
      </c>
      <c r="BR19" s="135">
        <f t="shared" si="4"/>
        <v>422.4</v>
      </c>
      <c r="BS19" s="135">
        <f t="shared" si="4"/>
        <v>422.4</v>
      </c>
      <c r="BT19" s="135">
        <f t="shared" si="4"/>
        <v>422.4</v>
      </c>
      <c r="BU19" s="135">
        <f t="shared" si="4"/>
        <v>422.4</v>
      </c>
      <c r="BV19" s="135">
        <f t="shared" si="4"/>
        <v>422.4</v>
      </c>
      <c r="BW19" s="139">
        <f t="shared" si="4"/>
        <v>422.4</v>
      </c>
      <c r="BX19" s="135">
        <f t="shared" si="4"/>
        <v>422.4</v>
      </c>
      <c r="BY19" s="135">
        <f t="shared" si="4"/>
        <v>422.4</v>
      </c>
      <c r="BZ19" s="135">
        <f t="shared" si="4"/>
        <v>422.4</v>
      </c>
      <c r="CA19" s="135">
        <f t="shared" si="4"/>
        <v>422.4</v>
      </c>
      <c r="CB19" s="135">
        <f t="shared" si="4"/>
        <v>422.4</v>
      </c>
      <c r="CC19" s="135">
        <f t="shared" si="4"/>
        <v>422.4</v>
      </c>
      <c r="CD19" s="135">
        <f t="shared" si="4"/>
        <v>422.4</v>
      </c>
      <c r="CE19" s="135">
        <f t="shared" si="4"/>
        <v>422.4</v>
      </c>
      <c r="CF19" s="135">
        <f t="shared" si="4"/>
        <v>422.4</v>
      </c>
      <c r="CG19" s="135">
        <f t="shared" si="4"/>
        <v>422.4</v>
      </c>
      <c r="CH19" s="135">
        <f t="shared" si="4"/>
        <v>422.4</v>
      </c>
      <c r="CI19" s="135">
        <f t="shared" si="4"/>
        <v>422.4</v>
      </c>
      <c r="CJ19" s="135">
        <f t="shared" si="4"/>
        <v>422.4</v>
      </c>
      <c r="CK19" s="135">
        <f t="shared" si="4"/>
        <v>422.4</v>
      </c>
      <c r="CL19" s="135">
        <f t="shared" si="4"/>
        <v>422.4</v>
      </c>
      <c r="CM19" s="135">
        <f t="shared" si="4"/>
        <v>422.4</v>
      </c>
      <c r="CN19" s="135">
        <f t="shared" si="4"/>
        <v>422.4</v>
      </c>
      <c r="CO19" s="135">
        <f t="shared" si="4"/>
        <v>422.4</v>
      </c>
      <c r="CP19" s="135">
        <f t="shared" si="4"/>
        <v>422.4</v>
      </c>
      <c r="CQ19" s="126"/>
      <c r="CR19" s="126"/>
      <c r="CS19" s="126"/>
      <c r="CT19" s="127"/>
      <c r="CU19" s="58">
        <f t="shared" si="0"/>
        <v>617631.00000000128</v>
      </c>
      <c r="CV19" s="120"/>
      <c r="CW19" s="120"/>
      <c r="CX19" s="120"/>
      <c r="CY19" s="120"/>
      <c r="CZ19" s="120"/>
      <c r="DA19" s="120"/>
      <c r="DB19" s="120"/>
    </row>
    <row r="20" spans="1:106" ht="12.5">
      <c r="A20" s="103">
        <v>2025</v>
      </c>
      <c r="B20" s="104" t="s">
        <v>80</v>
      </c>
      <c r="C20" s="104"/>
      <c r="D20" s="105" t="s">
        <v>131</v>
      </c>
      <c r="E20" s="104" t="s">
        <v>127</v>
      </c>
      <c r="F20" s="104">
        <v>60</v>
      </c>
      <c r="G20" s="106">
        <f t="shared" si="2"/>
        <v>2273.6999999999998</v>
      </c>
      <c r="H20" s="106">
        <v>11368.5</v>
      </c>
      <c r="I20" s="120"/>
      <c r="J20" s="142" t="s">
        <v>132</v>
      </c>
      <c r="K20" s="128"/>
      <c r="L20" s="107"/>
      <c r="M20" s="108"/>
      <c r="N20" s="109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110"/>
      <c r="AA20" s="111"/>
      <c r="AB20" s="111"/>
      <c r="AC20" s="111"/>
      <c r="AD20" s="111"/>
      <c r="AE20" s="111"/>
      <c r="AF20" s="111"/>
      <c r="AG20" s="143"/>
      <c r="AH20" s="135">
        <f t="shared" ref="AH20:AL20" si="5">$H$20/60</f>
        <v>189.47499999999999</v>
      </c>
      <c r="AI20" s="135">
        <f t="shared" si="5"/>
        <v>189.47499999999999</v>
      </c>
      <c r="AJ20" s="135">
        <f t="shared" si="5"/>
        <v>189.47499999999999</v>
      </c>
      <c r="AK20" s="135">
        <f t="shared" si="5"/>
        <v>189.47499999999999</v>
      </c>
      <c r="AL20" s="139">
        <f t="shared" si="5"/>
        <v>189.47499999999999</v>
      </c>
      <c r="AM20" s="144">
        <v>265680</v>
      </c>
      <c r="AN20" s="135">
        <f t="shared" ref="AN20:CP20" si="6">$H$20/60</f>
        <v>189.47499999999999</v>
      </c>
      <c r="AO20" s="135">
        <f t="shared" si="6"/>
        <v>189.47499999999999</v>
      </c>
      <c r="AP20" s="135">
        <f t="shared" si="6"/>
        <v>189.47499999999999</v>
      </c>
      <c r="AQ20" s="135">
        <f t="shared" si="6"/>
        <v>189.47499999999999</v>
      </c>
      <c r="AR20" s="135">
        <f t="shared" si="6"/>
        <v>189.47499999999999</v>
      </c>
      <c r="AS20" s="135">
        <f t="shared" si="6"/>
        <v>189.47499999999999</v>
      </c>
      <c r="AT20" s="135">
        <f t="shared" si="6"/>
        <v>189.47499999999999</v>
      </c>
      <c r="AU20" s="135">
        <f t="shared" si="6"/>
        <v>189.47499999999999</v>
      </c>
      <c r="AV20" s="135">
        <f t="shared" si="6"/>
        <v>189.47499999999999</v>
      </c>
      <c r="AW20" s="135">
        <f t="shared" si="6"/>
        <v>189.47499999999999</v>
      </c>
      <c r="AX20" s="135">
        <f t="shared" si="6"/>
        <v>189.47499999999999</v>
      </c>
      <c r="AY20" s="139">
        <f t="shared" si="6"/>
        <v>189.47499999999999</v>
      </c>
      <c r="AZ20" s="135">
        <f t="shared" si="6"/>
        <v>189.47499999999999</v>
      </c>
      <c r="BA20" s="135">
        <f t="shared" si="6"/>
        <v>189.47499999999999</v>
      </c>
      <c r="BB20" s="135">
        <f t="shared" si="6"/>
        <v>189.47499999999999</v>
      </c>
      <c r="BC20" s="135">
        <f t="shared" si="6"/>
        <v>189.47499999999999</v>
      </c>
      <c r="BD20" s="135">
        <f t="shared" si="6"/>
        <v>189.47499999999999</v>
      </c>
      <c r="BE20" s="135">
        <f t="shared" si="6"/>
        <v>189.47499999999999</v>
      </c>
      <c r="BF20" s="135">
        <f t="shared" si="6"/>
        <v>189.47499999999999</v>
      </c>
      <c r="BG20" s="135">
        <f t="shared" si="6"/>
        <v>189.47499999999999</v>
      </c>
      <c r="BH20" s="135">
        <f t="shared" si="6"/>
        <v>189.47499999999999</v>
      </c>
      <c r="BI20" s="135">
        <f t="shared" si="6"/>
        <v>189.47499999999999</v>
      </c>
      <c r="BJ20" s="135">
        <f t="shared" si="6"/>
        <v>189.47499999999999</v>
      </c>
      <c r="BK20" s="139">
        <f t="shared" si="6"/>
        <v>189.47499999999999</v>
      </c>
      <c r="BL20" s="135">
        <f t="shared" si="6"/>
        <v>189.47499999999999</v>
      </c>
      <c r="BM20" s="135">
        <f t="shared" si="6"/>
        <v>189.47499999999999</v>
      </c>
      <c r="BN20" s="135">
        <f t="shared" si="6"/>
        <v>189.47499999999999</v>
      </c>
      <c r="BO20" s="135">
        <f t="shared" si="6"/>
        <v>189.47499999999999</v>
      </c>
      <c r="BP20" s="135">
        <f t="shared" si="6"/>
        <v>189.47499999999999</v>
      </c>
      <c r="BQ20" s="135">
        <f t="shared" si="6"/>
        <v>189.47499999999999</v>
      </c>
      <c r="BR20" s="135">
        <f t="shared" si="6"/>
        <v>189.47499999999999</v>
      </c>
      <c r="BS20" s="135">
        <f t="shared" si="6"/>
        <v>189.47499999999999</v>
      </c>
      <c r="BT20" s="135">
        <f t="shared" si="6"/>
        <v>189.47499999999999</v>
      </c>
      <c r="BU20" s="135">
        <f t="shared" si="6"/>
        <v>189.47499999999999</v>
      </c>
      <c r="BV20" s="135">
        <f t="shared" si="6"/>
        <v>189.47499999999999</v>
      </c>
      <c r="BW20" s="139">
        <f t="shared" si="6"/>
        <v>189.47499999999999</v>
      </c>
      <c r="BX20" s="135">
        <f t="shared" si="6"/>
        <v>189.47499999999999</v>
      </c>
      <c r="BY20" s="135">
        <f t="shared" si="6"/>
        <v>189.47499999999999</v>
      </c>
      <c r="BZ20" s="135">
        <f t="shared" si="6"/>
        <v>189.47499999999999</v>
      </c>
      <c r="CA20" s="135">
        <f t="shared" si="6"/>
        <v>189.47499999999999</v>
      </c>
      <c r="CB20" s="135">
        <f t="shared" si="6"/>
        <v>189.47499999999999</v>
      </c>
      <c r="CC20" s="135">
        <f t="shared" si="6"/>
        <v>189.47499999999999</v>
      </c>
      <c r="CD20" s="135">
        <f t="shared" si="6"/>
        <v>189.47499999999999</v>
      </c>
      <c r="CE20" s="135">
        <f t="shared" si="6"/>
        <v>189.47499999999999</v>
      </c>
      <c r="CF20" s="135">
        <f t="shared" si="6"/>
        <v>189.47499999999999</v>
      </c>
      <c r="CG20" s="135">
        <f t="shared" si="6"/>
        <v>189.47499999999999</v>
      </c>
      <c r="CH20" s="135">
        <f t="shared" si="6"/>
        <v>189.47499999999999</v>
      </c>
      <c r="CI20" s="135">
        <f t="shared" si="6"/>
        <v>189.47499999999999</v>
      </c>
      <c r="CJ20" s="135">
        <f t="shared" si="6"/>
        <v>189.47499999999999</v>
      </c>
      <c r="CK20" s="135">
        <f t="shared" si="6"/>
        <v>189.47499999999999</v>
      </c>
      <c r="CL20" s="135">
        <f t="shared" si="6"/>
        <v>189.47499999999999</v>
      </c>
      <c r="CM20" s="135">
        <f t="shared" si="6"/>
        <v>189.47499999999999</v>
      </c>
      <c r="CN20" s="135">
        <f t="shared" si="6"/>
        <v>189.47499999999999</v>
      </c>
      <c r="CO20" s="135">
        <f t="shared" si="6"/>
        <v>189.47499999999999</v>
      </c>
      <c r="CP20" s="135">
        <f t="shared" si="6"/>
        <v>189.47499999999999</v>
      </c>
      <c r="CQ20" s="126"/>
      <c r="CR20" s="126"/>
      <c r="CS20" s="126"/>
      <c r="CT20" s="127"/>
      <c r="CU20" s="58">
        <f t="shared" si="0"/>
        <v>277048.49999999872</v>
      </c>
      <c r="CV20" s="120"/>
      <c r="CW20" s="120"/>
      <c r="CX20" s="120"/>
      <c r="CY20" s="120"/>
      <c r="CZ20" s="120"/>
      <c r="DA20" s="120"/>
      <c r="DB20" s="120"/>
    </row>
    <row r="21" spans="1:106" ht="12.5">
      <c r="A21" s="103">
        <v>2025</v>
      </c>
      <c r="B21" s="104" t="s">
        <v>80</v>
      </c>
      <c r="C21" s="104"/>
      <c r="D21" s="105" t="s">
        <v>133</v>
      </c>
      <c r="E21" s="104" t="s">
        <v>134</v>
      </c>
      <c r="F21" s="104">
        <v>24</v>
      </c>
      <c r="G21" s="106">
        <v>14850</v>
      </c>
      <c r="H21" s="106">
        <v>29700</v>
      </c>
      <c r="I21" s="52"/>
      <c r="J21" s="145" t="s">
        <v>135</v>
      </c>
      <c r="K21" s="128"/>
      <c r="L21" s="107"/>
      <c r="M21" s="108"/>
      <c r="N21" s="109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8"/>
      <c r="Z21" s="72"/>
      <c r="AA21" s="70"/>
      <c r="AB21" s="70"/>
      <c r="AC21" s="70"/>
      <c r="AD21" s="70"/>
      <c r="AE21" s="70"/>
      <c r="AF21" s="70"/>
      <c r="AG21" s="70"/>
      <c r="AH21" s="70"/>
      <c r="AI21" s="70"/>
      <c r="AJ21" s="135">
        <v>1238</v>
      </c>
      <c r="AK21" s="136">
        <v>1238</v>
      </c>
      <c r="AL21" s="137">
        <v>1238</v>
      </c>
      <c r="AM21" s="144">
        <v>1788930</v>
      </c>
      <c r="AN21" s="137">
        <v>1238</v>
      </c>
      <c r="AO21" s="137">
        <v>1238</v>
      </c>
      <c r="AP21" s="137">
        <v>1238</v>
      </c>
      <c r="AQ21" s="137">
        <v>1238</v>
      </c>
      <c r="AR21" s="137">
        <v>1238</v>
      </c>
      <c r="AS21" s="137">
        <v>1238</v>
      </c>
      <c r="AT21" s="137">
        <v>1238</v>
      </c>
      <c r="AU21" s="137">
        <v>1238</v>
      </c>
      <c r="AV21" s="137">
        <v>1238</v>
      </c>
      <c r="AW21" s="137">
        <v>1238</v>
      </c>
      <c r="AX21" s="135">
        <v>1238</v>
      </c>
      <c r="AY21" s="139">
        <v>1238</v>
      </c>
      <c r="AZ21" s="137">
        <v>1238</v>
      </c>
      <c r="BA21" s="137">
        <v>1238</v>
      </c>
      <c r="BB21" s="137">
        <v>1238</v>
      </c>
      <c r="BC21" s="137">
        <v>1238</v>
      </c>
      <c r="BD21" s="137">
        <v>1238</v>
      </c>
      <c r="BE21" s="137">
        <v>1238</v>
      </c>
      <c r="BF21" s="137">
        <v>1238</v>
      </c>
      <c r="BG21" s="137">
        <v>1238</v>
      </c>
      <c r="BH21" s="137">
        <v>1238</v>
      </c>
      <c r="BI21" s="146">
        <v>1238</v>
      </c>
      <c r="BJ21" s="147">
        <v>1238</v>
      </c>
      <c r="BK21" s="148">
        <v>1238</v>
      </c>
      <c r="BL21" s="148">
        <v>1238</v>
      </c>
      <c r="BM21" s="148">
        <v>1238</v>
      </c>
      <c r="BN21" s="148">
        <v>1238</v>
      </c>
      <c r="BO21" s="148">
        <v>1238</v>
      </c>
      <c r="BP21" s="148">
        <v>1238</v>
      </c>
      <c r="BQ21" s="148">
        <v>1238</v>
      </c>
      <c r="BR21" s="148">
        <v>1238</v>
      </c>
      <c r="BS21" s="148">
        <v>1238</v>
      </c>
      <c r="BT21" s="148">
        <v>1238</v>
      </c>
      <c r="BU21" s="148">
        <v>1238</v>
      </c>
      <c r="BV21" s="146">
        <v>1238</v>
      </c>
      <c r="BW21" s="149">
        <v>1238</v>
      </c>
      <c r="BX21" s="148">
        <v>1238</v>
      </c>
      <c r="BY21" s="148">
        <v>1238</v>
      </c>
      <c r="BZ21" s="148">
        <v>1238</v>
      </c>
      <c r="CA21" s="148">
        <v>1238</v>
      </c>
      <c r="CB21" s="148">
        <v>1238</v>
      </c>
      <c r="CC21" s="148">
        <v>1238</v>
      </c>
      <c r="CD21" s="148">
        <v>1238</v>
      </c>
      <c r="CE21" s="148">
        <v>1238</v>
      </c>
      <c r="CF21" s="148">
        <v>1238</v>
      </c>
      <c r="CG21" s="126"/>
      <c r="CH21" s="127"/>
      <c r="CI21" s="150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7"/>
      <c r="CU21" s="58">
        <f t="shared" si="0"/>
        <v>1848354</v>
      </c>
      <c r="CV21" s="52"/>
      <c r="CW21" s="52"/>
      <c r="CX21" s="52"/>
      <c r="CY21" s="52"/>
      <c r="CZ21" s="52"/>
      <c r="DA21" s="52"/>
      <c r="DB21" s="52"/>
    </row>
    <row r="22" spans="1:106" ht="12.5">
      <c r="A22" s="103">
        <v>2025</v>
      </c>
      <c r="B22" s="104" t="s">
        <v>136</v>
      </c>
      <c r="C22" s="104"/>
      <c r="D22" s="104" t="s">
        <v>137</v>
      </c>
      <c r="E22" s="104" t="s">
        <v>138</v>
      </c>
      <c r="F22" s="104">
        <v>12</v>
      </c>
      <c r="G22" s="106">
        <v>7780</v>
      </c>
      <c r="H22" s="106">
        <v>7780</v>
      </c>
      <c r="I22" s="52"/>
      <c r="J22" s="145" t="s">
        <v>139</v>
      </c>
      <c r="K22" s="128"/>
      <c r="L22" s="107"/>
      <c r="M22" s="108"/>
      <c r="N22" s="109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8"/>
      <c r="Z22" s="72"/>
      <c r="AA22" s="70"/>
      <c r="AB22" s="70"/>
      <c r="AC22" s="70"/>
      <c r="AD22" s="70"/>
      <c r="AE22" s="70"/>
      <c r="AF22" s="70"/>
      <c r="AG22" s="70"/>
      <c r="AH22" s="70"/>
      <c r="AI22" s="70"/>
      <c r="AJ22" s="135">
        <v>648</v>
      </c>
      <c r="AK22" s="136">
        <v>648</v>
      </c>
      <c r="AL22" s="137">
        <v>648</v>
      </c>
      <c r="AM22" s="138"/>
      <c r="AN22" s="137">
        <v>648</v>
      </c>
      <c r="AO22" s="137">
        <v>648</v>
      </c>
      <c r="AP22" s="137">
        <v>648</v>
      </c>
      <c r="AQ22" s="137">
        <v>648</v>
      </c>
      <c r="AR22" s="137">
        <v>648</v>
      </c>
      <c r="AS22" s="137">
        <v>648</v>
      </c>
      <c r="AT22" s="137">
        <v>648</v>
      </c>
      <c r="AU22" s="137">
        <v>648</v>
      </c>
      <c r="AV22" s="137">
        <v>648</v>
      </c>
      <c r="AW22" s="146">
        <v>648</v>
      </c>
      <c r="AX22" s="147">
        <v>648</v>
      </c>
      <c r="AY22" s="148">
        <v>648</v>
      </c>
      <c r="AZ22" s="148">
        <v>648</v>
      </c>
      <c r="BA22" s="148">
        <v>648</v>
      </c>
      <c r="BB22" s="148">
        <v>648</v>
      </c>
      <c r="BC22" s="148">
        <v>648</v>
      </c>
      <c r="BD22" s="148">
        <v>648</v>
      </c>
      <c r="BE22" s="148">
        <v>648</v>
      </c>
      <c r="BF22" s="148">
        <v>648</v>
      </c>
      <c r="BG22" s="148">
        <v>648</v>
      </c>
      <c r="BH22" s="148">
        <v>648</v>
      </c>
      <c r="BI22" s="151">
        <v>648</v>
      </c>
      <c r="BJ22" s="152">
        <v>648</v>
      </c>
      <c r="BK22" s="153">
        <v>648</v>
      </c>
      <c r="BL22" s="154">
        <v>648</v>
      </c>
      <c r="BM22" s="154">
        <v>648</v>
      </c>
      <c r="BN22" s="154">
        <v>648</v>
      </c>
      <c r="BO22" s="154">
        <v>648</v>
      </c>
      <c r="BP22" s="154">
        <v>648</v>
      </c>
      <c r="BQ22" s="154">
        <v>648</v>
      </c>
      <c r="BR22" s="154">
        <v>648</v>
      </c>
      <c r="BS22" s="154">
        <v>648</v>
      </c>
      <c r="BT22" s="154">
        <v>648</v>
      </c>
      <c r="BU22" s="155">
        <v>648</v>
      </c>
      <c r="BV22" s="156">
        <v>648</v>
      </c>
      <c r="BW22" s="157">
        <v>648</v>
      </c>
      <c r="BX22" s="158">
        <v>648</v>
      </c>
      <c r="BY22" s="158">
        <v>648</v>
      </c>
      <c r="BZ22" s="158">
        <v>648</v>
      </c>
      <c r="CA22" s="158">
        <v>648</v>
      </c>
      <c r="CB22" s="158">
        <v>648</v>
      </c>
      <c r="CC22" s="158">
        <v>648</v>
      </c>
      <c r="CD22" s="158">
        <v>648</v>
      </c>
      <c r="CE22" s="158">
        <v>648</v>
      </c>
      <c r="CF22" s="158">
        <v>648</v>
      </c>
      <c r="CG22" s="159">
        <v>648</v>
      </c>
      <c r="CH22" s="160">
        <v>648</v>
      </c>
      <c r="CI22" s="161">
        <v>648</v>
      </c>
      <c r="CJ22" s="162">
        <v>648</v>
      </c>
      <c r="CK22" s="162">
        <v>648</v>
      </c>
      <c r="CL22" s="162">
        <v>648</v>
      </c>
      <c r="CM22" s="162">
        <v>648</v>
      </c>
      <c r="CN22" s="162">
        <v>648</v>
      </c>
      <c r="CO22" s="162">
        <v>648</v>
      </c>
      <c r="CP22" s="162">
        <v>648</v>
      </c>
      <c r="CQ22" s="162">
        <v>648</v>
      </c>
      <c r="CR22" s="162">
        <v>648</v>
      </c>
      <c r="CS22" s="126"/>
      <c r="CT22" s="127"/>
      <c r="CU22" s="58">
        <f t="shared" si="0"/>
        <v>38880</v>
      </c>
      <c r="CV22" s="52"/>
      <c r="CW22" s="52"/>
      <c r="CX22" s="52"/>
      <c r="CY22" s="52"/>
      <c r="CZ22" s="52"/>
      <c r="DA22" s="52"/>
      <c r="DB22" s="52"/>
    </row>
    <row r="23" spans="1:106" ht="12.5">
      <c r="A23" s="103">
        <v>2025</v>
      </c>
      <c r="B23" s="104" t="s">
        <v>80</v>
      </c>
      <c r="C23" s="104"/>
      <c r="D23" s="105" t="s">
        <v>140</v>
      </c>
      <c r="E23" s="104" t="s">
        <v>141</v>
      </c>
      <c r="F23" s="104">
        <v>24</v>
      </c>
      <c r="G23" s="106">
        <v>2579</v>
      </c>
      <c r="H23" s="106">
        <v>5160</v>
      </c>
      <c r="I23" s="52"/>
      <c r="J23" s="145" t="s">
        <v>142</v>
      </c>
      <c r="K23" s="128"/>
      <c r="L23" s="107"/>
      <c r="M23" s="108"/>
      <c r="N23" s="109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8"/>
      <c r="Z23" s="72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1"/>
      <c r="AL23" s="163">
        <v>214.96</v>
      </c>
      <c r="AM23" s="164">
        <v>317837</v>
      </c>
      <c r="AN23" s="165">
        <v>214.96</v>
      </c>
      <c r="AO23" s="165">
        <v>214.96</v>
      </c>
      <c r="AP23" s="165">
        <v>214.96</v>
      </c>
      <c r="AQ23" s="165">
        <v>214.96</v>
      </c>
      <c r="AR23" s="165">
        <v>214.96</v>
      </c>
      <c r="AS23" s="165">
        <v>214.96</v>
      </c>
      <c r="AT23" s="165">
        <v>214.96</v>
      </c>
      <c r="AU23" s="165">
        <v>214.96</v>
      </c>
      <c r="AV23" s="165">
        <v>214.96</v>
      </c>
      <c r="AW23" s="165">
        <v>214.96</v>
      </c>
      <c r="AX23" s="165">
        <v>214.96</v>
      </c>
      <c r="AY23" s="163">
        <v>214.96</v>
      </c>
      <c r="AZ23" s="165">
        <v>214.96</v>
      </c>
      <c r="BA23" s="165">
        <v>214.96</v>
      </c>
      <c r="BB23" s="165">
        <v>214.96</v>
      </c>
      <c r="BC23" s="165">
        <v>214.96</v>
      </c>
      <c r="BD23" s="165">
        <v>214.96</v>
      </c>
      <c r="BE23" s="165">
        <v>214.96</v>
      </c>
      <c r="BF23" s="165">
        <v>214.96</v>
      </c>
      <c r="BG23" s="165">
        <v>214.96</v>
      </c>
      <c r="BH23" s="165">
        <v>214.96</v>
      </c>
      <c r="BI23" s="165">
        <v>214.96</v>
      </c>
      <c r="BJ23" s="165">
        <v>214.96</v>
      </c>
      <c r="BK23" s="153">
        <v>214.96</v>
      </c>
      <c r="BL23" s="154">
        <v>214.96</v>
      </c>
      <c r="BM23" s="154">
        <v>214.96</v>
      </c>
      <c r="BN23" s="154">
        <v>214.96</v>
      </c>
      <c r="BO23" s="154">
        <v>214.96</v>
      </c>
      <c r="BP23" s="154">
        <v>214.96</v>
      </c>
      <c r="BQ23" s="154">
        <v>214.96</v>
      </c>
      <c r="BR23" s="154">
        <v>214.96</v>
      </c>
      <c r="BS23" s="154">
        <v>214.96</v>
      </c>
      <c r="BT23" s="154">
        <v>214.96</v>
      </c>
      <c r="BU23" s="154">
        <v>214.96</v>
      </c>
      <c r="BV23" s="152">
        <v>214.96</v>
      </c>
      <c r="BW23" s="153">
        <v>214.96</v>
      </c>
      <c r="BX23" s="154">
        <v>214.96</v>
      </c>
      <c r="BY23" s="154">
        <v>214.96</v>
      </c>
      <c r="BZ23" s="154">
        <v>214.96</v>
      </c>
      <c r="CA23" s="154">
        <v>214.96</v>
      </c>
      <c r="CB23" s="154">
        <v>214.96</v>
      </c>
      <c r="CC23" s="154">
        <v>214.96</v>
      </c>
      <c r="CD23" s="154">
        <v>214.96</v>
      </c>
      <c r="CE23" s="154">
        <v>214.96</v>
      </c>
      <c r="CF23" s="154">
        <v>214.96</v>
      </c>
      <c r="CG23" s="154">
        <v>214.96</v>
      </c>
      <c r="CH23" s="152">
        <v>214.96</v>
      </c>
      <c r="CI23" s="157">
        <v>214.96</v>
      </c>
      <c r="CJ23" s="158">
        <v>214.96</v>
      </c>
      <c r="CK23" s="158">
        <v>214.96</v>
      </c>
      <c r="CL23" s="158">
        <v>214.96</v>
      </c>
      <c r="CM23" s="158">
        <v>214.96</v>
      </c>
      <c r="CN23" s="158">
        <v>214.96</v>
      </c>
      <c r="CO23" s="158">
        <v>214.96</v>
      </c>
      <c r="CP23" s="158">
        <v>214.96</v>
      </c>
      <c r="CQ23" s="158">
        <v>214.96</v>
      </c>
      <c r="CR23" s="158">
        <v>214.96</v>
      </c>
      <c r="CS23" s="158">
        <v>214.96</v>
      </c>
      <c r="CT23" s="158">
        <v>214.96</v>
      </c>
      <c r="CU23" s="58">
        <f t="shared" si="0"/>
        <v>330734.60000000126</v>
      </c>
      <c r="CV23" s="52"/>
      <c r="CW23" s="52"/>
      <c r="CX23" s="52"/>
      <c r="CY23" s="52"/>
      <c r="CZ23" s="52"/>
      <c r="DA23" s="52"/>
      <c r="DB23" s="52"/>
    </row>
    <row r="24" spans="1:106" ht="12.5">
      <c r="A24" s="103">
        <v>2025</v>
      </c>
      <c r="B24" s="104" t="s">
        <v>80</v>
      </c>
      <c r="C24" s="104"/>
      <c r="D24" s="105" t="s">
        <v>143</v>
      </c>
      <c r="E24" s="104" t="s">
        <v>144</v>
      </c>
      <c r="F24" s="104">
        <v>36</v>
      </c>
      <c r="G24" s="106">
        <v>4950</v>
      </c>
      <c r="H24" s="106">
        <v>14850</v>
      </c>
      <c r="I24" s="52"/>
      <c r="J24" s="145" t="s">
        <v>145</v>
      </c>
      <c r="K24" s="128"/>
      <c r="L24" s="107"/>
      <c r="M24" s="108"/>
      <c r="N24" s="109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8"/>
      <c r="Z24" s="72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165">
        <v>412</v>
      </c>
      <c r="AL24" s="163">
        <v>412</v>
      </c>
      <c r="AM24" s="164">
        <v>609345</v>
      </c>
      <c r="AN24" s="165">
        <v>412</v>
      </c>
      <c r="AO24" s="165">
        <v>412</v>
      </c>
      <c r="AP24" s="165">
        <v>412</v>
      </c>
      <c r="AQ24" s="165">
        <v>412</v>
      </c>
      <c r="AR24" s="165">
        <v>412</v>
      </c>
      <c r="AS24" s="165">
        <v>412</v>
      </c>
      <c r="AT24" s="165">
        <v>412</v>
      </c>
      <c r="AU24" s="165">
        <v>412</v>
      </c>
      <c r="AV24" s="165">
        <v>412</v>
      </c>
      <c r="AW24" s="165">
        <v>412</v>
      </c>
      <c r="AX24" s="165">
        <v>412</v>
      </c>
      <c r="AY24" s="163">
        <v>412</v>
      </c>
      <c r="AZ24" s="165">
        <v>412</v>
      </c>
      <c r="BA24" s="165">
        <v>412</v>
      </c>
      <c r="BB24" s="165">
        <v>412</v>
      </c>
      <c r="BC24" s="165">
        <v>412</v>
      </c>
      <c r="BD24" s="165">
        <v>412</v>
      </c>
      <c r="BE24" s="165">
        <v>412</v>
      </c>
      <c r="BF24" s="165">
        <v>412</v>
      </c>
      <c r="BG24" s="165">
        <v>412</v>
      </c>
      <c r="BH24" s="165">
        <v>412</v>
      </c>
      <c r="BI24" s="165">
        <v>412</v>
      </c>
      <c r="BJ24" s="165">
        <v>412</v>
      </c>
      <c r="BK24" s="163">
        <v>412</v>
      </c>
      <c r="BL24" s="165">
        <v>412</v>
      </c>
      <c r="BM24" s="165">
        <v>412</v>
      </c>
      <c r="BN24" s="165">
        <v>412</v>
      </c>
      <c r="BO24" s="165">
        <v>412</v>
      </c>
      <c r="BP24" s="165">
        <v>412</v>
      </c>
      <c r="BQ24" s="165">
        <v>412</v>
      </c>
      <c r="BR24" s="165">
        <v>412</v>
      </c>
      <c r="BS24" s="165">
        <v>412</v>
      </c>
      <c r="BT24" s="165">
        <v>412</v>
      </c>
      <c r="BU24" s="165">
        <v>412</v>
      </c>
      <c r="BV24" s="152">
        <v>412</v>
      </c>
      <c r="BW24" s="166">
        <v>412</v>
      </c>
      <c r="BX24" s="167">
        <v>412</v>
      </c>
      <c r="BY24" s="167">
        <v>412</v>
      </c>
      <c r="BZ24" s="167">
        <v>412</v>
      </c>
      <c r="CA24" s="167">
        <v>412</v>
      </c>
      <c r="CB24" s="167">
        <v>412</v>
      </c>
      <c r="CC24" s="167">
        <v>412</v>
      </c>
      <c r="CD24" s="167">
        <v>412</v>
      </c>
      <c r="CE24" s="168">
        <v>412</v>
      </c>
      <c r="CF24" s="168">
        <v>412</v>
      </c>
      <c r="CG24" s="168">
        <v>412</v>
      </c>
      <c r="CH24" s="169">
        <v>412</v>
      </c>
      <c r="CI24" s="170">
        <v>412</v>
      </c>
      <c r="CJ24" s="168">
        <v>412</v>
      </c>
      <c r="CK24" s="168">
        <v>412</v>
      </c>
      <c r="CL24" s="168">
        <v>412</v>
      </c>
      <c r="CM24" s="168">
        <v>412</v>
      </c>
      <c r="CN24" s="168">
        <v>412</v>
      </c>
      <c r="CO24" s="168">
        <v>412</v>
      </c>
      <c r="CP24" s="168">
        <v>412</v>
      </c>
      <c r="CQ24" s="168">
        <v>412</v>
      </c>
      <c r="CR24" s="168">
        <v>412</v>
      </c>
      <c r="CS24" s="168">
        <v>412</v>
      </c>
      <c r="CT24" s="169">
        <v>412</v>
      </c>
      <c r="CU24" s="58">
        <f t="shared" si="0"/>
        <v>634477</v>
      </c>
      <c r="CV24" s="52"/>
      <c r="CW24" s="52"/>
      <c r="CX24" s="52"/>
      <c r="CY24" s="52"/>
      <c r="CZ24" s="52"/>
      <c r="DA24" s="52"/>
      <c r="DB24" s="52"/>
    </row>
    <row r="25" spans="1:106" ht="12.5">
      <c r="A25" s="103">
        <v>2025</v>
      </c>
      <c r="B25" s="104" t="s">
        <v>80</v>
      </c>
      <c r="C25" s="104"/>
      <c r="D25" s="105" t="s">
        <v>146</v>
      </c>
      <c r="E25" s="104" t="s">
        <v>147</v>
      </c>
      <c r="F25" s="104">
        <v>36</v>
      </c>
      <c r="G25" s="106">
        <v>7497.6</v>
      </c>
      <c r="H25" s="106">
        <v>22492.799999999999</v>
      </c>
      <c r="I25" s="52"/>
      <c r="J25" s="145" t="s">
        <v>148</v>
      </c>
      <c r="K25" s="128"/>
      <c r="L25" s="107"/>
      <c r="M25" s="108"/>
      <c r="N25" s="109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8"/>
      <c r="Z25" s="72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165">
        <v>624.79999999999995</v>
      </c>
      <c r="AL25" s="163">
        <v>624.79999999999995</v>
      </c>
      <c r="AM25" s="164">
        <v>924015</v>
      </c>
      <c r="AN25" s="165">
        <v>624.79999999999995</v>
      </c>
      <c r="AO25" s="165">
        <v>624.79999999999995</v>
      </c>
      <c r="AP25" s="165">
        <v>624.79999999999995</v>
      </c>
      <c r="AQ25" s="165">
        <v>624.79999999999995</v>
      </c>
      <c r="AR25" s="165">
        <v>624.79999999999995</v>
      </c>
      <c r="AS25" s="165">
        <v>624.79999999999995</v>
      </c>
      <c r="AT25" s="165">
        <v>624.79999999999995</v>
      </c>
      <c r="AU25" s="165">
        <v>624.79999999999995</v>
      </c>
      <c r="AV25" s="165">
        <v>624.79999999999995</v>
      </c>
      <c r="AW25" s="165">
        <v>624.79999999999995</v>
      </c>
      <c r="AX25" s="165">
        <v>624.79999999999995</v>
      </c>
      <c r="AY25" s="163">
        <v>624.79999999999995</v>
      </c>
      <c r="AZ25" s="165">
        <v>624.79999999999995</v>
      </c>
      <c r="BA25" s="165">
        <v>624.79999999999995</v>
      </c>
      <c r="BB25" s="165">
        <v>624.79999999999995</v>
      </c>
      <c r="BC25" s="165">
        <v>624.79999999999995</v>
      </c>
      <c r="BD25" s="165">
        <v>624.79999999999995</v>
      </c>
      <c r="BE25" s="165">
        <v>624.79999999999995</v>
      </c>
      <c r="BF25" s="165">
        <v>624.79999999999995</v>
      </c>
      <c r="BG25" s="165">
        <v>624.79999999999995</v>
      </c>
      <c r="BH25" s="165">
        <v>624.79999999999995</v>
      </c>
      <c r="BI25" s="165">
        <v>624.79999999999995</v>
      </c>
      <c r="BJ25" s="165">
        <v>624.79999999999995</v>
      </c>
      <c r="BK25" s="163">
        <v>624.79999999999995</v>
      </c>
      <c r="BL25" s="165">
        <v>624.79999999999995</v>
      </c>
      <c r="BM25" s="165">
        <v>624.79999999999995</v>
      </c>
      <c r="BN25" s="165">
        <v>624.79999999999995</v>
      </c>
      <c r="BO25" s="165">
        <v>624.79999999999995</v>
      </c>
      <c r="BP25" s="165">
        <v>624.79999999999995</v>
      </c>
      <c r="BQ25" s="165">
        <v>624.79999999999995</v>
      </c>
      <c r="BR25" s="165">
        <v>624.79999999999995</v>
      </c>
      <c r="BS25" s="165">
        <v>624.79999999999995</v>
      </c>
      <c r="BT25" s="165">
        <v>624.79999999999995</v>
      </c>
      <c r="BU25" s="165">
        <v>624.79999999999995</v>
      </c>
      <c r="BV25" s="152">
        <v>624.79999999999995</v>
      </c>
      <c r="BW25" s="166">
        <v>624.79999999999995</v>
      </c>
      <c r="BX25" s="167">
        <v>624.79999999999995</v>
      </c>
      <c r="BY25" s="167">
        <v>624.79999999999995</v>
      </c>
      <c r="BZ25" s="167">
        <v>624.79999999999995</v>
      </c>
      <c r="CA25" s="167">
        <v>624.79999999999995</v>
      </c>
      <c r="CB25" s="167">
        <v>624.79999999999995</v>
      </c>
      <c r="CC25" s="167">
        <v>624.79999999999995</v>
      </c>
      <c r="CD25" s="167">
        <v>624.79999999999995</v>
      </c>
      <c r="CE25" s="168">
        <v>624.79999999999995</v>
      </c>
      <c r="CF25" s="168">
        <v>624.79999999999995</v>
      </c>
      <c r="CG25" s="168">
        <v>624.79999999999995</v>
      </c>
      <c r="CH25" s="169">
        <v>624.79999999999995</v>
      </c>
      <c r="CI25" s="170">
        <v>624.79999999999995</v>
      </c>
      <c r="CJ25" s="168">
        <v>624.79999999999995</v>
      </c>
      <c r="CK25" s="168">
        <v>624.79999999999995</v>
      </c>
      <c r="CL25" s="168">
        <v>624.79999999999995</v>
      </c>
      <c r="CM25" s="168">
        <v>624.79999999999995</v>
      </c>
      <c r="CN25" s="168">
        <v>624.79999999999995</v>
      </c>
      <c r="CO25" s="168">
        <v>624.79999999999995</v>
      </c>
      <c r="CP25" s="168">
        <v>624.79999999999995</v>
      </c>
      <c r="CQ25" s="168">
        <v>624.79999999999995</v>
      </c>
      <c r="CR25" s="168">
        <v>624.79999999999995</v>
      </c>
      <c r="CS25" s="168">
        <v>624.79999999999995</v>
      </c>
      <c r="CT25" s="169">
        <v>624.79999999999995</v>
      </c>
      <c r="CU25" s="58">
        <f t="shared" si="0"/>
        <v>962127.80000000272</v>
      </c>
      <c r="CV25" s="52"/>
      <c r="CW25" s="52"/>
      <c r="CX25" s="52"/>
      <c r="CY25" s="52"/>
      <c r="CZ25" s="52"/>
      <c r="DA25" s="52"/>
      <c r="DB25" s="52"/>
    </row>
    <row r="26" spans="1:106" ht="12.5">
      <c r="A26" s="171">
        <v>2026</v>
      </c>
      <c r="B26" s="172" t="s">
        <v>80</v>
      </c>
      <c r="C26" s="172"/>
      <c r="D26" s="172" t="s">
        <v>149</v>
      </c>
      <c r="E26" s="172" t="s">
        <v>150</v>
      </c>
      <c r="F26" s="172">
        <v>24</v>
      </c>
      <c r="G26" s="173">
        <v>55562.76</v>
      </c>
      <c r="H26" s="173">
        <v>111125.52</v>
      </c>
      <c r="I26" s="52"/>
      <c r="J26" s="172" t="s">
        <v>149</v>
      </c>
      <c r="K26" s="128"/>
      <c r="L26" s="107"/>
      <c r="M26" s="108"/>
      <c r="N26" s="109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8"/>
      <c r="Z26" s="72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1"/>
      <c r="AL26" s="163">
        <v>4630</v>
      </c>
      <c r="AM26" s="164">
        <f>5682836+1136567</f>
        <v>6819403</v>
      </c>
      <c r="AN26" s="165">
        <v>4630.2299999999996</v>
      </c>
      <c r="AO26" s="165">
        <v>4630.2299999999996</v>
      </c>
      <c r="AP26" s="165">
        <v>4630.2299999999996</v>
      </c>
      <c r="AQ26" s="165">
        <v>4630.2299999999996</v>
      </c>
      <c r="AR26" s="165">
        <v>4630.2299999999996</v>
      </c>
      <c r="AS26" s="165">
        <v>4630.2299999999996</v>
      </c>
      <c r="AT26" s="165">
        <v>4630.2299999999996</v>
      </c>
      <c r="AU26" s="165">
        <v>4630.2299999999996</v>
      </c>
      <c r="AV26" s="165">
        <v>4630.2299999999996</v>
      </c>
      <c r="AW26" s="165">
        <v>4630.2299999999996</v>
      </c>
      <c r="AX26" s="165">
        <v>4630.2299999999996</v>
      </c>
      <c r="AY26" s="163">
        <v>4630.2299999999996</v>
      </c>
      <c r="AZ26" s="165">
        <v>4630.2299999999996</v>
      </c>
      <c r="BA26" s="165">
        <v>4630.2299999999996</v>
      </c>
      <c r="BB26" s="165">
        <v>4630.2299999999996</v>
      </c>
      <c r="BC26" s="165">
        <v>4630.2299999999996</v>
      </c>
      <c r="BD26" s="165">
        <v>4630.2299999999996</v>
      </c>
      <c r="BE26" s="165">
        <v>4630.2299999999996</v>
      </c>
      <c r="BF26" s="165">
        <v>4630.2299999999996</v>
      </c>
      <c r="BG26" s="165">
        <v>4630.2299999999996</v>
      </c>
      <c r="BH26" s="165">
        <v>4630.2299999999996</v>
      </c>
      <c r="BI26" s="165">
        <v>4630.2299999999996</v>
      </c>
      <c r="BJ26" s="165">
        <v>4630.2299999999996</v>
      </c>
      <c r="BK26" s="163">
        <v>4630.2299999999996</v>
      </c>
      <c r="BL26" s="167"/>
      <c r="BM26" s="167"/>
      <c r="BN26" s="167"/>
      <c r="BO26" s="167"/>
      <c r="BP26" s="167"/>
      <c r="BQ26" s="167"/>
      <c r="BR26" s="167"/>
      <c r="BS26" s="168"/>
      <c r="BT26" s="168"/>
      <c r="BU26" s="168"/>
      <c r="BV26" s="169"/>
      <c r="BW26" s="166"/>
      <c r="BX26" s="167"/>
      <c r="BY26" s="167"/>
      <c r="BZ26" s="167"/>
      <c r="CA26" s="167"/>
      <c r="CB26" s="167"/>
      <c r="CC26" s="167"/>
      <c r="CD26" s="167"/>
      <c r="CE26" s="168"/>
      <c r="CF26" s="168"/>
      <c r="CG26" s="168"/>
      <c r="CH26" s="169"/>
      <c r="CI26" s="170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9"/>
      <c r="CU26" s="58"/>
      <c r="CV26" s="52"/>
      <c r="CW26" s="52"/>
      <c r="CX26" s="52"/>
      <c r="CY26" s="52"/>
      <c r="CZ26" s="52"/>
      <c r="DA26" s="52"/>
      <c r="DB26" s="52"/>
    </row>
    <row r="27" spans="1:106" ht="12.5">
      <c r="A27" s="171">
        <v>2026</v>
      </c>
      <c r="B27" s="172" t="s">
        <v>80</v>
      </c>
      <c r="C27" s="172"/>
      <c r="D27" s="172" t="s">
        <v>151</v>
      </c>
      <c r="E27" s="172" t="s">
        <v>152</v>
      </c>
      <c r="F27" s="172">
        <v>36</v>
      </c>
      <c r="G27" s="173">
        <v>14256</v>
      </c>
      <c r="H27" s="173">
        <v>42768</v>
      </c>
      <c r="I27" s="52"/>
      <c r="J27" s="172" t="s">
        <v>151</v>
      </c>
      <c r="K27" s="128"/>
      <c r="L27" s="107"/>
      <c r="M27" s="108"/>
      <c r="N27" s="109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8"/>
      <c r="Z27" s="72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165"/>
      <c r="AL27" s="174"/>
      <c r="AM27" s="73"/>
      <c r="AN27" s="165">
        <v>1188</v>
      </c>
      <c r="AO27" s="165">
        <v>1188</v>
      </c>
      <c r="AP27" s="165">
        <v>1188</v>
      </c>
      <c r="AQ27" s="165">
        <v>1188</v>
      </c>
      <c r="AR27" s="165">
        <v>1188</v>
      </c>
      <c r="AS27" s="165">
        <v>1188</v>
      </c>
      <c r="AT27" s="165">
        <v>1188</v>
      </c>
      <c r="AU27" s="165">
        <v>1188</v>
      </c>
      <c r="AV27" s="165">
        <v>1188</v>
      </c>
      <c r="AW27" s="165">
        <v>1188</v>
      </c>
      <c r="AX27" s="165">
        <v>1188</v>
      </c>
      <c r="AY27" s="163">
        <v>1188</v>
      </c>
      <c r="AZ27" s="165">
        <v>1188</v>
      </c>
      <c r="BA27" s="165">
        <v>1188</v>
      </c>
      <c r="BB27" s="165">
        <v>1188</v>
      </c>
      <c r="BC27" s="165">
        <v>1188</v>
      </c>
      <c r="BD27" s="165">
        <v>1188</v>
      </c>
      <c r="BE27" s="165">
        <v>1188</v>
      </c>
      <c r="BF27" s="165">
        <v>1188</v>
      </c>
      <c r="BG27" s="165">
        <v>1188</v>
      </c>
      <c r="BH27" s="165">
        <v>1188</v>
      </c>
      <c r="BI27" s="165">
        <v>1188</v>
      </c>
      <c r="BJ27" s="165">
        <v>1188</v>
      </c>
      <c r="BK27" s="163">
        <v>1188</v>
      </c>
      <c r="BL27" s="165">
        <v>1188</v>
      </c>
      <c r="BM27" s="165">
        <v>1188</v>
      </c>
      <c r="BN27" s="165">
        <v>1188</v>
      </c>
      <c r="BO27" s="165">
        <v>1188</v>
      </c>
      <c r="BP27" s="165">
        <v>1188</v>
      </c>
      <c r="BQ27" s="165">
        <v>1188</v>
      </c>
      <c r="BR27" s="165">
        <v>1188</v>
      </c>
      <c r="BS27" s="165">
        <v>1188</v>
      </c>
      <c r="BT27" s="165">
        <v>1188</v>
      </c>
      <c r="BU27" s="165">
        <v>1188</v>
      </c>
      <c r="BV27" s="152">
        <v>1188</v>
      </c>
      <c r="BW27" s="166">
        <v>1188</v>
      </c>
      <c r="BX27" s="167">
        <v>1188</v>
      </c>
      <c r="BY27" s="167">
        <v>1188</v>
      </c>
      <c r="BZ27" s="167">
        <v>1188</v>
      </c>
      <c r="CA27" s="167">
        <v>1188</v>
      </c>
      <c r="CB27" s="167">
        <v>1188</v>
      </c>
      <c r="CC27" s="167">
        <v>1188</v>
      </c>
      <c r="CD27" s="167">
        <v>1188</v>
      </c>
      <c r="CE27" s="168">
        <v>1188</v>
      </c>
      <c r="CF27" s="168">
        <v>1188</v>
      </c>
      <c r="CG27" s="168">
        <v>1188</v>
      </c>
      <c r="CH27" s="169">
        <v>1188</v>
      </c>
      <c r="CI27" s="170">
        <v>1188</v>
      </c>
      <c r="CJ27" s="168">
        <v>1188</v>
      </c>
      <c r="CK27" s="168">
        <v>1188</v>
      </c>
      <c r="CL27" s="168">
        <v>1188</v>
      </c>
      <c r="CM27" s="168">
        <v>1188</v>
      </c>
      <c r="CN27" s="168">
        <v>1188</v>
      </c>
      <c r="CO27" s="168">
        <v>1188</v>
      </c>
      <c r="CP27" s="168">
        <v>1188</v>
      </c>
      <c r="CQ27" s="168">
        <v>1188</v>
      </c>
      <c r="CR27" s="168">
        <v>1188</v>
      </c>
      <c r="CS27" s="168">
        <v>1188</v>
      </c>
      <c r="CT27" s="169">
        <v>1188</v>
      </c>
      <c r="CU27" s="58">
        <f t="shared" ref="CU27:CU40" si="7">SUM(K27:CT27)</f>
        <v>70092</v>
      </c>
      <c r="CV27" s="52"/>
      <c r="CW27" s="52"/>
      <c r="CX27" s="52"/>
      <c r="CY27" s="52"/>
      <c r="CZ27" s="52"/>
      <c r="DA27" s="52"/>
      <c r="DB27" s="52"/>
    </row>
    <row r="28" spans="1:106" ht="12.5">
      <c r="A28" s="171">
        <v>2026</v>
      </c>
      <c r="B28" s="172" t="s">
        <v>80</v>
      </c>
      <c r="C28" s="172"/>
      <c r="D28" s="172" t="s">
        <v>153</v>
      </c>
      <c r="E28" s="172" t="s">
        <v>154</v>
      </c>
      <c r="F28" s="172">
        <v>24</v>
      </c>
      <c r="G28" s="173">
        <v>8316</v>
      </c>
      <c r="H28" s="173">
        <v>16632</v>
      </c>
      <c r="I28" s="52"/>
      <c r="J28" s="172" t="s">
        <v>153</v>
      </c>
      <c r="K28" s="128"/>
      <c r="L28" s="107"/>
      <c r="M28" s="108"/>
      <c r="N28" s="109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8"/>
      <c r="Z28" s="72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1"/>
      <c r="AL28" s="72"/>
      <c r="AM28" s="73"/>
      <c r="AN28" s="72"/>
      <c r="AO28" s="165">
        <v>693</v>
      </c>
      <c r="AP28" s="165">
        <v>693</v>
      </c>
      <c r="AQ28" s="165">
        <v>693</v>
      </c>
      <c r="AR28" s="165">
        <v>693</v>
      </c>
      <c r="AS28" s="165">
        <v>693</v>
      </c>
      <c r="AT28" s="165">
        <v>693</v>
      </c>
      <c r="AU28" s="165">
        <v>693</v>
      </c>
      <c r="AV28" s="165">
        <v>693</v>
      </c>
      <c r="AW28" s="165">
        <v>693</v>
      </c>
      <c r="AX28" s="165">
        <v>693</v>
      </c>
      <c r="AY28" s="163">
        <v>693</v>
      </c>
      <c r="AZ28" s="165">
        <v>693</v>
      </c>
      <c r="BA28" s="165">
        <v>693</v>
      </c>
      <c r="BB28" s="165">
        <v>693</v>
      </c>
      <c r="BC28" s="165">
        <v>693</v>
      </c>
      <c r="BD28" s="165">
        <v>693</v>
      </c>
      <c r="BE28" s="165">
        <v>693</v>
      </c>
      <c r="BF28" s="165">
        <v>693</v>
      </c>
      <c r="BG28" s="165">
        <v>693</v>
      </c>
      <c r="BH28" s="165">
        <v>693</v>
      </c>
      <c r="BI28" s="165">
        <v>693</v>
      </c>
      <c r="BJ28" s="165">
        <v>693</v>
      </c>
      <c r="BK28" s="163">
        <v>693</v>
      </c>
      <c r="BL28" s="165">
        <v>693</v>
      </c>
      <c r="BM28" s="167">
        <v>693</v>
      </c>
      <c r="BN28" s="167">
        <v>693</v>
      </c>
      <c r="BO28" s="167">
        <v>693</v>
      </c>
      <c r="BP28" s="167">
        <v>693</v>
      </c>
      <c r="BQ28" s="167">
        <v>693</v>
      </c>
      <c r="BR28" s="167">
        <v>693</v>
      </c>
      <c r="BS28" s="167">
        <v>693</v>
      </c>
      <c r="BT28" s="167">
        <v>693</v>
      </c>
      <c r="BU28" s="167">
        <v>693</v>
      </c>
      <c r="BV28" s="169">
        <v>693</v>
      </c>
      <c r="BW28" s="166">
        <v>693</v>
      </c>
      <c r="BX28" s="167">
        <v>693</v>
      </c>
      <c r="BY28" s="167">
        <v>693</v>
      </c>
      <c r="BZ28" s="167">
        <v>693</v>
      </c>
      <c r="CA28" s="167">
        <v>693</v>
      </c>
      <c r="CB28" s="167">
        <v>693</v>
      </c>
      <c r="CC28" s="167">
        <v>693</v>
      </c>
      <c r="CD28" s="167">
        <v>693</v>
      </c>
      <c r="CE28" s="168">
        <v>693</v>
      </c>
      <c r="CF28" s="168">
        <v>693</v>
      </c>
      <c r="CG28" s="168">
        <v>693</v>
      </c>
      <c r="CH28" s="169">
        <v>693</v>
      </c>
      <c r="CI28" s="166">
        <v>693</v>
      </c>
      <c r="CJ28" s="167">
        <v>693</v>
      </c>
      <c r="CK28" s="167">
        <v>693</v>
      </c>
      <c r="CL28" s="167">
        <v>693</v>
      </c>
      <c r="CM28" s="167">
        <v>693</v>
      </c>
      <c r="CN28" s="167">
        <v>693</v>
      </c>
      <c r="CO28" s="167">
        <v>693</v>
      </c>
      <c r="CP28" s="167">
        <v>693</v>
      </c>
      <c r="CQ28" s="168">
        <v>693</v>
      </c>
      <c r="CR28" s="168">
        <v>693</v>
      </c>
      <c r="CS28" s="168">
        <v>693</v>
      </c>
      <c r="CT28" s="169">
        <v>693</v>
      </c>
      <c r="CU28" s="58">
        <f t="shared" si="7"/>
        <v>40194</v>
      </c>
      <c r="CV28" s="52"/>
      <c r="CW28" s="52"/>
      <c r="CX28" s="52"/>
      <c r="CY28" s="52"/>
      <c r="CZ28" s="52"/>
      <c r="DA28" s="52"/>
      <c r="DB28" s="52"/>
    </row>
    <row r="29" spans="1:106" ht="12.5">
      <c r="A29" s="171">
        <v>2026</v>
      </c>
      <c r="B29" s="172" t="s">
        <v>80</v>
      </c>
      <c r="C29" s="172"/>
      <c r="D29" s="172" t="s">
        <v>155</v>
      </c>
      <c r="E29" s="172" t="s">
        <v>156</v>
      </c>
      <c r="F29" s="172">
        <v>24</v>
      </c>
      <c r="G29" s="173">
        <v>280.5</v>
      </c>
      <c r="H29" s="173">
        <v>280.5</v>
      </c>
      <c r="I29" s="52"/>
      <c r="J29" s="172" t="s">
        <v>153</v>
      </c>
      <c r="K29" s="128"/>
      <c r="L29" s="107"/>
      <c r="M29" s="108"/>
      <c r="N29" s="109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8"/>
      <c r="Z29" s="72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1"/>
      <c r="AL29" s="72"/>
      <c r="AM29" s="73"/>
      <c r="AN29" s="72"/>
      <c r="AO29" s="165">
        <v>23.38</v>
      </c>
      <c r="AP29" s="165">
        <v>23.38</v>
      </c>
      <c r="AQ29" s="165">
        <v>23.38</v>
      </c>
      <c r="AR29" s="165">
        <v>23.38</v>
      </c>
      <c r="AS29" s="165">
        <v>23.38</v>
      </c>
      <c r="AT29" s="165">
        <v>23.38</v>
      </c>
      <c r="AU29" s="165">
        <v>23.38</v>
      </c>
      <c r="AV29" s="165">
        <v>23.38</v>
      </c>
      <c r="AW29" s="165">
        <v>23.38</v>
      </c>
      <c r="AX29" s="165">
        <v>23.38</v>
      </c>
      <c r="AY29" s="163">
        <v>23.38</v>
      </c>
      <c r="AZ29" s="165">
        <v>23.38</v>
      </c>
      <c r="BA29" s="167">
        <v>23.38</v>
      </c>
      <c r="BB29" s="167">
        <v>23.38</v>
      </c>
      <c r="BC29" s="167">
        <v>23.38</v>
      </c>
      <c r="BD29" s="167">
        <v>23.38</v>
      </c>
      <c r="BE29" s="167">
        <v>23.38</v>
      </c>
      <c r="BF29" s="167">
        <v>23.38</v>
      </c>
      <c r="BG29" s="167">
        <v>23.38</v>
      </c>
      <c r="BH29" s="167">
        <v>23.38</v>
      </c>
      <c r="BI29" s="167">
        <v>23.38</v>
      </c>
      <c r="BJ29" s="169">
        <v>23.38</v>
      </c>
      <c r="BK29" s="166">
        <v>23.38</v>
      </c>
      <c r="BL29" s="167">
        <v>23.38</v>
      </c>
      <c r="BM29" s="167">
        <v>23.38</v>
      </c>
      <c r="BN29" s="167">
        <v>23.38</v>
      </c>
      <c r="BO29" s="167">
        <v>23.38</v>
      </c>
      <c r="BP29" s="167">
        <v>23.38</v>
      </c>
      <c r="BQ29" s="167">
        <v>23.38</v>
      </c>
      <c r="BR29" s="167">
        <v>23.38</v>
      </c>
      <c r="BS29" s="167">
        <v>23.38</v>
      </c>
      <c r="BT29" s="167">
        <v>23.38</v>
      </c>
      <c r="BU29" s="167">
        <v>23.38</v>
      </c>
      <c r="BV29" s="169">
        <v>23.38</v>
      </c>
      <c r="BW29" s="166">
        <v>23.38</v>
      </c>
      <c r="BX29" s="167">
        <v>23.38</v>
      </c>
      <c r="BY29" s="167">
        <v>23.38</v>
      </c>
      <c r="BZ29" s="167">
        <v>23.38</v>
      </c>
      <c r="CA29" s="167">
        <v>23.38</v>
      </c>
      <c r="CB29" s="167">
        <v>23.38</v>
      </c>
      <c r="CC29" s="167">
        <v>23.38</v>
      </c>
      <c r="CD29" s="167">
        <v>23.38</v>
      </c>
      <c r="CE29" s="168">
        <v>23.38</v>
      </c>
      <c r="CF29" s="168">
        <v>23.38</v>
      </c>
      <c r="CG29" s="168">
        <v>23.38</v>
      </c>
      <c r="CH29" s="169">
        <v>23.38</v>
      </c>
      <c r="CI29" s="166">
        <v>23.38</v>
      </c>
      <c r="CJ29" s="167">
        <v>23.38</v>
      </c>
      <c r="CK29" s="167">
        <v>23.38</v>
      </c>
      <c r="CL29" s="167">
        <v>23.38</v>
      </c>
      <c r="CM29" s="167">
        <v>23.38</v>
      </c>
      <c r="CN29" s="167">
        <v>23.38</v>
      </c>
      <c r="CO29" s="167">
        <v>23.38</v>
      </c>
      <c r="CP29" s="167">
        <v>23.38</v>
      </c>
      <c r="CQ29" s="168">
        <v>23.38</v>
      </c>
      <c r="CR29" s="168">
        <v>23.38</v>
      </c>
      <c r="CS29" s="168">
        <v>23.38</v>
      </c>
      <c r="CT29" s="169">
        <v>23.38</v>
      </c>
      <c r="CU29" s="58">
        <f t="shared" si="7"/>
        <v>1356.0400000000016</v>
      </c>
      <c r="CV29" s="52"/>
      <c r="CW29" s="52"/>
      <c r="CX29" s="52"/>
      <c r="CY29" s="52"/>
      <c r="CZ29" s="52"/>
      <c r="DA29" s="52"/>
      <c r="DB29" s="52"/>
    </row>
    <row r="30" spans="1:106" ht="12.5">
      <c r="A30" s="175">
        <v>2026</v>
      </c>
      <c r="B30" s="176" t="s">
        <v>80</v>
      </c>
      <c r="C30" s="176"/>
      <c r="D30" s="176" t="s">
        <v>157</v>
      </c>
      <c r="E30" s="176" t="s">
        <v>158</v>
      </c>
      <c r="F30" s="176">
        <v>36</v>
      </c>
      <c r="G30" s="177">
        <v>14887</v>
      </c>
      <c r="H30" s="177">
        <v>44663</v>
      </c>
      <c r="I30" s="52"/>
      <c r="J30" s="172" t="s">
        <v>159</v>
      </c>
      <c r="K30" s="128"/>
      <c r="L30" s="107"/>
      <c r="M30" s="108"/>
      <c r="N30" s="109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8"/>
      <c r="Z30" s="72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165">
        <v>1240</v>
      </c>
      <c r="AL30" s="163">
        <v>1240</v>
      </c>
      <c r="AM30" s="178"/>
      <c r="AN30" s="165">
        <v>1240</v>
      </c>
      <c r="AO30" s="165">
        <v>1240</v>
      </c>
      <c r="AP30" s="165">
        <v>1240</v>
      </c>
      <c r="AQ30" s="165">
        <v>1240</v>
      </c>
      <c r="AR30" s="165">
        <v>1240</v>
      </c>
      <c r="AS30" s="165">
        <v>1240</v>
      </c>
      <c r="AT30" s="165">
        <v>1240</v>
      </c>
      <c r="AU30" s="165">
        <v>1240</v>
      </c>
      <c r="AV30" s="165">
        <v>1240</v>
      </c>
      <c r="AW30" s="165">
        <v>1240</v>
      </c>
      <c r="AX30" s="165">
        <v>1240</v>
      </c>
      <c r="AY30" s="163">
        <v>1240</v>
      </c>
      <c r="AZ30" s="165">
        <v>1240</v>
      </c>
      <c r="BA30" s="165">
        <v>1240</v>
      </c>
      <c r="BB30" s="165">
        <v>1240</v>
      </c>
      <c r="BC30" s="165">
        <v>1240</v>
      </c>
      <c r="BD30" s="165">
        <v>1240</v>
      </c>
      <c r="BE30" s="165">
        <v>1240</v>
      </c>
      <c r="BF30" s="165">
        <v>1240</v>
      </c>
      <c r="BG30" s="165">
        <v>1240</v>
      </c>
      <c r="BH30" s="165">
        <v>1240</v>
      </c>
      <c r="BI30" s="165">
        <v>1240</v>
      </c>
      <c r="BJ30" s="165">
        <v>1240</v>
      </c>
      <c r="BK30" s="163">
        <v>1240</v>
      </c>
      <c r="BL30" s="165">
        <v>1240</v>
      </c>
      <c r="BM30" s="165">
        <v>1240</v>
      </c>
      <c r="BN30" s="165">
        <v>1240</v>
      </c>
      <c r="BO30" s="165">
        <v>1240</v>
      </c>
      <c r="BP30" s="165">
        <v>1240</v>
      </c>
      <c r="BQ30" s="165">
        <v>1240</v>
      </c>
      <c r="BR30" s="165">
        <v>1240</v>
      </c>
      <c r="BS30" s="165">
        <v>1240</v>
      </c>
      <c r="BT30" s="165">
        <v>1240</v>
      </c>
      <c r="BU30" s="165">
        <v>1240</v>
      </c>
      <c r="BV30" s="152">
        <v>1240</v>
      </c>
      <c r="BW30" s="166">
        <v>1240</v>
      </c>
      <c r="BX30" s="167">
        <v>1240</v>
      </c>
      <c r="BY30" s="167">
        <v>1240</v>
      </c>
      <c r="BZ30" s="167">
        <v>1240</v>
      </c>
      <c r="CA30" s="167">
        <v>1240</v>
      </c>
      <c r="CB30" s="167">
        <v>1240</v>
      </c>
      <c r="CC30" s="167">
        <v>1240</v>
      </c>
      <c r="CD30" s="167">
        <v>1240</v>
      </c>
      <c r="CE30" s="168">
        <v>1240</v>
      </c>
      <c r="CF30" s="168">
        <v>1240</v>
      </c>
      <c r="CG30" s="168">
        <v>1240</v>
      </c>
      <c r="CH30" s="169">
        <v>1240</v>
      </c>
      <c r="CI30" s="170">
        <v>1240</v>
      </c>
      <c r="CJ30" s="168">
        <v>1240</v>
      </c>
      <c r="CK30" s="168">
        <v>1240</v>
      </c>
      <c r="CL30" s="168">
        <v>1240</v>
      </c>
      <c r="CM30" s="168">
        <v>1240</v>
      </c>
      <c r="CN30" s="168">
        <v>1240</v>
      </c>
      <c r="CO30" s="168">
        <v>1240</v>
      </c>
      <c r="CP30" s="168">
        <v>1240</v>
      </c>
      <c r="CQ30" s="168">
        <v>1240</v>
      </c>
      <c r="CR30" s="168">
        <v>1240</v>
      </c>
      <c r="CS30" s="168">
        <v>1240</v>
      </c>
      <c r="CT30" s="169">
        <v>1240</v>
      </c>
      <c r="CU30" s="58">
        <f t="shared" si="7"/>
        <v>75640</v>
      </c>
      <c r="CV30" s="52"/>
      <c r="CW30" s="52"/>
      <c r="CX30" s="52"/>
      <c r="CY30" s="52"/>
      <c r="CZ30" s="52"/>
      <c r="DA30" s="52"/>
      <c r="DB30" s="52"/>
    </row>
    <row r="31" spans="1:106" ht="12.5">
      <c r="A31" s="175">
        <v>2026</v>
      </c>
      <c r="B31" s="176" t="s">
        <v>80</v>
      </c>
      <c r="C31" s="176"/>
      <c r="D31" s="176" t="s">
        <v>160</v>
      </c>
      <c r="E31" s="176" t="s">
        <v>161</v>
      </c>
      <c r="F31" s="176">
        <v>12</v>
      </c>
      <c r="G31" s="177">
        <v>20250</v>
      </c>
      <c r="H31" s="177">
        <v>20250</v>
      </c>
      <c r="I31" s="52"/>
      <c r="J31" s="172" t="s">
        <v>162</v>
      </c>
      <c r="K31" s="128"/>
      <c r="L31" s="107"/>
      <c r="M31" s="108"/>
      <c r="N31" s="109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8"/>
      <c r="Z31" s="72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165">
        <v>1687</v>
      </c>
      <c r="AL31" s="163">
        <v>1687</v>
      </c>
      <c r="AM31" s="178"/>
      <c r="AN31" s="165">
        <v>1687</v>
      </c>
      <c r="AO31" s="165">
        <v>1687</v>
      </c>
      <c r="AP31" s="165">
        <v>1687</v>
      </c>
      <c r="AQ31" s="165">
        <v>1687</v>
      </c>
      <c r="AR31" s="165">
        <v>1687</v>
      </c>
      <c r="AS31" s="165">
        <v>1687</v>
      </c>
      <c r="AT31" s="165">
        <v>1687</v>
      </c>
      <c r="AU31" s="165">
        <v>1687</v>
      </c>
      <c r="AV31" s="165">
        <v>1687</v>
      </c>
      <c r="AW31" s="165">
        <v>1687</v>
      </c>
      <c r="AX31" s="152">
        <v>1687</v>
      </c>
      <c r="AY31" s="153">
        <v>1687</v>
      </c>
      <c r="AZ31" s="154">
        <v>1687</v>
      </c>
      <c r="BA31" s="154">
        <v>1687</v>
      </c>
      <c r="BB31" s="154">
        <v>1687</v>
      </c>
      <c r="BC31" s="154">
        <v>1687</v>
      </c>
      <c r="BD31" s="154">
        <v>1687</v>
      </c>
      <c r="BE31" s="154">
        <v>1687</v>
      </c>
      <c r="BF31" s="154">
        <v>1687</v>
      </c>
      <c r="BG31" s="154">
        <v>1687</v>
      </c>
      <c r="BH31" s="154">
        <v>1687</v>
      </c>
      <c r="BI31" s="154">
        <v>1687</v>
      </c>
      <c r="BJ31" s="156">
        <v>1687</v>
      </c>
      <c r="BK31" s="157">
        <v>1687</v>
      </c>
      <c r="BL31" s="158">
        <v>1687</v>
      </c>
      <c r="BM31" s="158">
        <v>1687</v>
      </c>
      <c r="BN31" s="158">
        <v>1687</v>
      </c>
      <c r="BO31" s="158">
        <v>1687</v>
      </c>
      <c r="BP31" s="158">
        <v>1687</v>
      </c>
      <c r="BQ31" s="158">
        <v>1687</v>
      </c>
      <c r="BR31" s="158">
        <v>1687</v>
      </c>
      <c r="BS31" s="158">
        <v>1687</v>
      </c>
      <c r="BT31" s="158">
        <v>1687</v>
      </c>
      <c r="BU31" s="158">
        <v>1687</v>
      </c>
      <c r="BV31" s="160">
        <v>1687</v>
      </c>
      <c r="BW31" s="161">
        <v>1687</v>
      </c>
      <c r="BX31" s="162">
        <v>1687</v>
      </c>
      <c r="BY31" s="162">
        <v>1687</v>
      </c>
      <c r="BZ31" s="162">
        <v>1687</v>
      </c>
      <c r="CA31" s="162">
        <v>1687</v>
      </c>
      <c r="CB31" s="162">
        <v>1687</v>
      </c>
      <c r="CC31" s="162">
        <v>1687</v>
      </c>
      <c r="CD31" s="162">
        <v>1687</v>
      </c>
      <c r="CE31" s="162">
        <v>1687</v>
      </c>
      <c r="CF31" s="162">
        <v>1687</v>
      </c>
      <c r="CG31" s="162">
        <v>1687</v>
      </c>
      <c r="CH31" s="127"/>
      <c r="CI31" s="150"/>
      <c r="CJ31" s="126"/>
      <c r="CK31" s="126"/>
      <c r="CL31" s="126"/>
      <c r="CM31" s="126"/>
      <c r="CN31" s="126"/>
      <c r="CO31" s="126"/>
      <c r="CP31" s="126"/>
      <c r="CQ31" s="126"/>
      <c r="CR31" s="126"/>
      <c r="CS31" s="126"/>
      <c r="CT31" s="127"/>
      <c r="CU31" s="58">
        <f t="shared" si="7"/>
        <v>80976</v>
      </c>
      <c r="CV31" s="52"/>
      <c r="CW31" s="52"/>
      <c r="CX31" s="52"/>
      <c r="CY31" s="52"/>
      <c r="CZ31" s="52"/>
      <c r="DA31" s="52"/>
      <c r="DB31" s="52"/>
    </row>
    <row r="32" spans="1:106" ht="12.5">
      <c r="A32" s="175">
        <v>2026</v>
      </c>
      <c r="B32" s="176" t="s">
        <v>80</v>
      </c>
      <c r="C32" s="176"/>
      <c r="D32" s="176" t="s">
        <v>163</v>
      </c>
      <c r="E32" s="176" t="s">
        <v>164</v>
      </c>
      <c r="F32" s="176">
        <v>36</v>
      </c>
      <c r="G32" s="177">
        <v>40000</v>
      </c>
      <c r="H32" s="177">
        <v>120000</v>
      </c>
      <c r="I32" s="52"/>
      <c r="J32" s="172" t="s">
        <v>163</v>
      </c>
      <c r="K32" s="128"/>
      <c r="L32" s="107"/>
      <c r="M32" s="108"/>
      <c r="N32" s="109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8"/>
      <c r="Z32" s="72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1"/>
      <c r="AL32" s="72"/>
      <c r="AM32" s="73"/>
      <c r="AN32" s="70"/>
      <c r="AO32" s="179">
        <v>3333</v>
      </c>
      <c r="AP32" s="179">
        <v>3333</v>
      </c>
      <c r="AQ32" s="179">
        <v>3333</v>
      </c>
      <c r="AR32" s="179">
        <v>3333</v>
      </c>
      <c r="AS32" s="179">
        <v>3333</v>
      </c>
      <c r="AT32" s="179">
        <v>3333</v>
      </c>
      <c r="AU32" s="179">
        <v>3333</v>
      </c>
      <c r="AV32" s="179">
        <v>3333</v>
      </c>
      <c r="AW32" s="179">
        <v>3333</v>
      </c>
      <c r="AX32" s="180">
        <v>3333</v>
      </c>
      <c r="AY32" s="181">
        <v>3333</v>
      </c>
      <c r="AZ32" s="181">
        <v>3333</v>
      </c>
      <c r="BA32" s="181">
        <v>3333</v>
      </c>
      <c r="BB32" s="181">
        <v>3333</v>
      </c>
      <c r="BC32" s="181">
        <v>3333</v>
      </c>
      <c r="BD32" s="181">
        <v>3333</v>
      </c>
      <c r="BE32" s="181">
        <v>3333</v>
      </c>
      <c r="BF32" s="181">
        <v>3333</v>
      </c>
      <c r="BG32" s="181">
        <v>3333</v>
      </c>
      <c r="BH32" s="181">
        <v>3333</v>
      </c>
      <c r="BI32" s="181">
        <v>3333</v>
      </c>
      <c r="BJ32" s="180">
        <v>3333</v>
      </c>
      <c r="BK32" s="181">
        <v>3333</v>
      </c>
      <c r="BL32" s="181">
        <v>3333</v>
      </c>
      <c r="BM32" s="181">
        <v>3333</v>
      </c>
      <c r="BN32" s="181">
        <v>3333</v>
      </c>
      <c r="BO32" s="181">
        <v>3333</v>
      </c>
      <c r="BP32" s="181">
        <v>3333</v>
      </c>
      <c r="BQ32" s="181">
        <v>3333</v>
      </c>
      <c r="BR32" s="181">
        <v>3333</v>
      </c>
      <c r="BS32" s="181">
        <v>3333</v>
      </c>
      <c r="BT32" s="181">
        <v>3333</v>
      </c>
      <c r="BU32" s="181">
        <v>3333</v>
      </c>
      <c r="BV32" s="182">
        <v>3333</v>
      </c>
      <c r="BW32" s="181">
        <v>3333</v>
      </c>
      <c r="BX32" s="181">
        <v>3333</v>
      </c>
      <c r="BY32" s="111"/>
      <c r="BZ32" s="111"/>
      <c r="CA32" s="111"/>
      <c r="CB32" s="111"/>
      <c r="CC32" s="111"/>
      <c r="CD32" s="111"/>
      <c r="CE32" s="126"/>
      <c r="CF32" s="126"/>
      <c r="CG32" s="126"/>
      <c r="CH32" s="127"/>
      <c r="CI32" s="150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7"/>
      <c r="CU32" s="58">
        <f t="shared" si="7"/>
        <v>119988</v>
      </c>
      <c r="CV32" s="52"/>
      <c r="CW32" s="52"/>
      <c r="CX32" s="52"/>
      <c r="CY32" s="52"/>
      <c r="CZ32" s="52"/>
      <c r="DA32" s="52"/>
      <c r="DB32" s="52"/>
    </row>
    <row r="33" spans="1:106" ht="12.5">
      <c r="A33" s="175">
        <v>2026</v>
      </c>
      <c r="B33" s="176" t="s">
        <v>80</v>
      </c>
      <c r="C33" s="176"/>
      <c r="D33" s="176" t="s">
        <v>165</v>
      </c>
      <c r="E33" s="176" t="s">
        <v>166</v>
      </c>
      <c r="F33" s="176">
        <v>36</v>
      </c>
      <c r="G33" s="177">
        <v>120000</v>
      </c>
      <c r="H33" s="177">
        <v>360000</v>
      </c>
      <c r="I33" s="52"/>
      <c r="J33" s="172" t="s">
        <v>165</v>
      </c>
      <c r="K33" s="128"/>
      <c r="L33" s="107"/>
      <c r="M33" s="108"/>
      <c r="N33" s="109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72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1"/>
      <c r="AL33" s="72"/>
      <c r="AM33" s="73"/>
      <c r="AN33" s="70"/>
      <c r="AO33" s="70"/>
      <c r="AP33" s="70"/>
      <c r="AQ33" s="70"/>
      <c r="AR33" s="179">
        <v>10000</v>
      </c>
      <c r="AS33" s="179">
        <v>10000</v>
      </c>
      <c r="AT33" s="179">
        <v>10000</v>
      </c>
      <c r="AU33" s="179">
        <v>10000</v>
      </c>
      <c r="AV33" s="179">
        <v>10000</v>
      </c>
      <c r="AW33" s="179">
        <v>10000</v>
      </c>
      <c r="AX33" s="180">
        <v>10000</v>
      </c>
      <c r="AY33" s="181">
        <v>10000</v>
      </c>
      <c r="AZ33" s="181">
        <v>10000</v>
      </c>
      <c r="BA33" s="181">
        <v>10000</v>
      </c>
      <c r="BB33" s="181">
        <v>10000</v>
      </c>
      <c r="BC33" s="181">
        <v>10000</v>
      </c>
      <c r="BD33" s="181">
        <v>10000</v>
      </c>
      <c r="BE33" s="181">
        <v>10000</v>
      </c>
      <c r="BF33" s="181">
        <v>10000</v>
      </c>
      <c r="BG33" s="181">
        <v>10000</v>
      </c>
      <c r="BH33" s="181">
        <v>10000</v>
      </c>
      <c r="BI33" s="181">
        <v>10000</v>
      </c>
      <c r="BJ33" s="180">
        <v>10000</v>
      </c>
      <c r="BK33" s="181">
        <v>10000</v>
      </c>
      <c r="BL33" s="181">
        <v>10000</v>
      </c>
      <c r="BM33" s="181">
        <v>10000</v>
      </c>
      <c r="BN33" s="181">
        <v>10000</v>
      </c>
      <c r="BO33" s="181">
        <v>10000</v>
      </c>
      <c r="BP33" s="181">
        <v>10000</v>
      </c>
      <c r="BQ33" s="181">
        <v>10000</v>
      </c>
      <c r="BR33" s="181">
        <v>10000</v>
      </c>
      <c r="BS33" s="181">
        <v>10000</v>
      </c>
      <c r="BT33" s="181">
        <v>10000</v>
      </c>
      <c r="BU33" s="181">
        <v>10000</v>
      </c>
      <c r="BV33" s="182">
        <v>10000</v>
      </c>
      <c r="BW33" s="181">
        <v>10000</v>
      </c>
      <c r="BX33" s="181">
        <v>10000</v>
      </c>
      <c r="BY33" s="181">
        <v>10000</v>
      </c>
      <c r="BZ33" s="181">
        <v>10000</v>
      </c>
      <c r="CA33" s="181">
        <v>10000</v>
      </c>
      <c r="CB33" s="111"/>
      <c r="CC33" s="111"/>
      <c r="CD33" s="111"/>
      <c r="CE33" s="126"/>
      <c r="CF33" s="126"/>
      <c r="CG33" s="126"/>
      <c r="CH33" s="127"/>
      <c r="CI33" s="150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7"/>
      <c r="CU33" s="58">
        <f t="shared" si="7"/>
        <v>360000</v>
      </c>
      <c r="CV33" s="52"/>
      <c r="CW33" s="52"/>
      <c r="CX33" s="52"/>
      <c r="CY33" s="52"/>
      <c r="CZ33" s="52"/>
      <c r="DA33" s="52"/>
      <c r="DB33" s="52"/>
    </row>
    <row r="34" spans="1:106" ht="12.5">
      <c r="A34" s="175">
        <v>2026</v>
      </c>
      <c r="B34" s="176" t="s">
        <v>80</v>
      </c>
      <c r="C34" s="176"/>
      <c r="D34" s="176" t="s">
        <v>167</v>
      </c>
      <c r="E34" s="176" t="s">
        <v>168</v>
      </c>
      <c r="F34" s="176">
        <v>36</v>
      </c>
      <c r="G34" s="177">
        <v>120000</v>
      </c>
      <c r="H34" s="177">
        <v>360000</v>
      </c>
      <c r="I34" s="52"/>
      <c r="J34" s="172" t="s">
        <v>167</v>
      </c>
      <c r="K34" s="128"/>
      <c r="L34" s="107"/>
      <c r="M34" s="108"/>
      <c r="N34" s="109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8"/>
      <c r="Z34" s="72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1"/>
      <c r="AL34" s="72"/>
      <c r="AM34" s="73"/>
      <c r="AN34" s="70"/>
      <c r="AO34" s="70"/>
      <c r="AP34" s="70"/>
      <c r="AQ34" s="70"/>
      <c r="AR34" s="70"/>
      <c r="AS34" s="70"/>
      <c r="AT34" s="179">
        <v>10000</v>
      </c>
      <c r="AU34" s="179">
        <v>10000</v>
      </c>
      <c r="AV34" s="179">
        <v>10000</v>
      </c>
      <c r="AW34" s="179">
        <v>10000</v>
      </c>
      <c r="AX34" s="180">
        <v>10000</v>
      </c>
      <c r="AY34" s="181">
        <v>10000</v>
      </c>
      <c r="AZ34" s="181">
        <v>10000</v>
      </c>
      <c r="BA34" s="181">
        <v>10000</v>
      </c>
      <c r="BB34" s="181">
        <v>10000</v>
      </c>
      <c r="BC34" s="181">
        <v>10000</v>
      </c>
      <c r="BD34" s="181">
        <v>10000</v>
      </c>
      <c r="BE34" s="181">
        <v>10000</v>
      </c>
      <c r="BF34" s="181">
        <v>10000</v>
      </c>
      <c r="BG34" s="181">
        <v>10000</v>
      </c>
      <c r="BH34" s="181">
        <v>10000</v>
      </c>
      <c r="BI34" s="181">
        <v>10000</v>
      </c>
      <c r="BJ34" s="180">
        <v>10000</v>
      </c>
      <c r="BK34" s="181">
        <v>10000</v>
      </c>
      <c r="BL34" s="181">
        <v>10000</v>
      </c>
      <c r="BM34" s="181">
        <v>10000</v>
      </c>
      <c r="BN34" s="181">
        <v>10000</v>
      </c>
      <c r="BO34" s="181">
        <v>10000</v>
      </c>
      <c r="BP34" s="181">
        <v>10000</v>
      </c>
      <c r="BQ34" s="181">
        <v>10000</v>
      </c>
      <c r="BR34" s="181">
        <v>10000</v>
      </c>
      <c r="BS34" s="181">
        <v>10000</v>
      </c>
      <c r="BT34" s="181">
        <v>10000</v>
      </c>
      <c r="BU34" s="181">
        <v>10000</v>
      </c>
      <c r="BV34" s="180">
        <v>10000</v>
      </c>
      <c r="BW34" s="181">
        <v>10000</v>
      </c>
      <c r="BX34" s="181">
        <v>10000</v>
      </c>
      <c r="BY34" s="181">
        <v>10000</v>
      </c>
      <c r="BZ34" s="181">
        <v>10000</v>
      </c>
      <c r="CA34" s="181">
        <v>10000</v>
      </c>
      <c r="CB34" s="181">
        <v>10000</v>
      </c>
      <c r="CC34" s="181">
        <v>10000</v>
      </c>
      <c r="CD34" s="111"/>
      <c r="CE34" s="126"/>
      <c r="CF34" s="126"/>
      <c r="CG34" s="126"/>
      <c r="CH34" s="127"/>
      <c r="CI34" s="150"/>
      <c r="CJ34" s="126"/>
      <c r="CK34" s="126"/>
      <c r="CL34" s="126"/>
      <c r="CM34" s="126"/>
      <c r="CN34" s="126"/>
      <c r="CO34" s="126"/>
      <c r="CP34" s="126"/>
      <c r="CQ34" s="126"/>
      <c r="CR34" s="126"/>
      <c r="CS34" s="126"/>
      <c r="CT34" s="127"/>
      <c r="CU34" s="58">
        <f t="shared" si="7"/>
        <v>360000</v>
      </c>
      <c r="CV34" s="52"/>
      <c r="CW34" s="52"/>
      <c r="CX34" s="52"/>
      <c r="CY34" s="52"/>
      <c r="CZ34" s="52"/>
      <c r="DA34" s="52"/>
      <c r="DB34" s="52"/>
    </row>
    <row r="35" spans="1:106" ht="12.5">
      <c r="A35" s="175">
        <v>2026</v>
      </c>
      <c r="B35" s="176" t="s">
        <v>80</v>
      </c>
      <c r="C35" s="176"/>
      <c r="D35" s="176" t="s">
        <v>169</v>
      </c>
      <c r="E35" s="176" t="s">
        <v>170</v>
      </c>
      <c r="F35" s="176">
        <v>36</v>
      </c>
      <c r="G35" s="177">
        <v>120000</v>
      </c>
      <c r="H35" s="177">
        <v>360000</v>
      </c>
      <c r="I35" s="52"/>
      <c r="J35" s="172" t="s">
        <v>169</v>
      </c>
      <c r="K35" s="128"/>
      <c r="L35" s="107"/>
      <c r="M35" s="108"/>
      <c r="N35" s="109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8"/>
      <c r="Z35" s="72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1"/>
      <c r="AL35" s="72"/>
      <c r="AM35" s="73"/>
      <c r="AN35" s="70"/>
      <c r="AO35" s="70"/>
      <c r="AP35" s="70"/>
      <c r="AQ35" s="70"/>
      <c r="AR35" s="70"/>
      <c r="AS35" s="70"/>
      <c r="AT35" s="70"/>
      <c r="AU35" s="70"/>
      <c r="AV35" s="70"/>
      <c r="AW35" s="179">
        <v>10000</v>
      </c>
      <c r="AX35" s="180">
        <v>10000</v>
      </c>
      <c r="AY35" s="181">
        <v>10000</v>
      </c>
      <c r="AZ35" s="181">
        <v>10000</v>
      </c>
      <c r="BA35" s="181">
        <v>10000</v>
      </c>
      <c r="BB35" s="181">
        <v>10000</v>
      </c>
      <c r="BC35" s="181">
        <v>10000</v>
      </c>
      <c r="BD35" s="181">
        <v>10000</v>
      </c>
      <c r="BE35" s="181">
        <v>10000</v>
      </c>
      <c r="BF35" s="181">
        <v>10000</v>
      </c>
      <c r="BG35" s="181">
        <v>10000</v>
      </c>
      <c r="BH35" s="181">
        <v>10000</v>
      </c>
      <c r="BI35" s="181">
        <v>10000</v>
      </c>
      <c r="BJ35" s="180">
        <v>10000</v>
      </c>
      <c r="BK35" s="181">
        <v>10000</v>
      </c>
      <c r="BL35" s="181">
        <v>10000</v>
      </c>
      <c r="BM35" s="181">
        <v>10000</v>
      </c>
      <c r="BN35" s="181">
        <v>10000</v>
      </c>
      <c r="BO35" s="181">
        <v>10000</v>
      </c>
      <c r="BP35" s="181">
        <v>10000</v>
      </c>
      <c r="BQ35" s="181">
        <v>10000</v>
      </c>
      <c r="BR35" s="181">
        <v>10000</v>
      </c>
      <c r="BS35" s="181">
        <v>10000</v>
      </c>
      <c r="BT35" s="181">
        <v>10000</v>
      </c>
      <c r="BU35" s="181">
        <v>10000</v>
      </c>
      <c r="BV35" s="180">
        <v>10000</v>
      </c>
      <c r="BW35" s="181">
        <v>10000</v>
      </c>
      <c r="BX35" s="181">
        <v>10000</v>
      </c>
      <c r="BY35" s="181">
        <v>10000</v>
      </c>
      <c r="BZ35" s="181">
        <v>10000</v>
      </c>
      <c r="CA35" s="181">
        <v>10000</v>
      </c>
      <c r="CB35" s="181">
        <v>10000</v>
      </c>
      <c r="CC35" s="181">
        <v>10000</v>
      </c>
      <c r="CD35" s="181">
        <v>10000</v>
      </c>
      <c r="CE35" s="181">
        <v>10000</v>
      </c>
      <c r="CF35" s="181">
        <v>10000</v>
      </c>
      <c r="CG35" s="126"/>
      <c r="CH35" s="127"/>
      <c r="CI35" s="150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7"/>
      <c r="CU35" s="58">
        <f t="shared" si="7"/>
        <v>360000</v>
      </c>
      <c r="CV35" s="52"/>
      <c r="CW35" s="52"/>
      <c r="CX35" s="52"/>
      <c r="CY35" s="52"/>
      <c r="CZ35" s="52"/>
      <c r="DA35" s="52"/>
      <c r="DB35" s="52"/>
    </row>
    <row r="36" spans="1:106" ht="12.5">
      <c r="A36" s="183">
        <v>2027</v>
      </c>
      <c r="B36" s="184" t="s">
        <v>80</v>
      </c>
      <c r="C36" s="184"/>
      <c r="D36" s="184" t="s">
        <v>163</v>
      </c>
      <c r="E36" s="184" t="s">
        <v>171</v>
      </c>
      <c r="F36" s="184">
        <v>36</v>
      </c>
      <c r="G36" s="185">
        <v>50000</v>
      </c>
      <c r="H36" s="185">
        <v>150000</v>
      </c>
      <c r="I36" s="52"/>
      <c r="J36" s="186" t="s">
        <v>163</v>
      </c>
      <c r="K36" s="128"/>
      <c r="L36" s="107"/>
      <c r="M36" s="108"/>
      <c r="N36" s="109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8"/>
      <c r="Z36" s="72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1"/>
      <c r="AL36" s="72"/>
      <c r="AM36" s="73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1"/>
      <c r="AY36" s="72"/>
      <c r="AZ36" s="187">
        <v>4167</v>
      </c>
      <c r="BA36" s="187">
        <v>4167</v>
      </c>
      <c r="BB36" s="187">
        <v>4167</v>
      </c>
      <c r="BC36" s="187">
        <v>4167</v>
      </c>
      <c r="BD36" s="187">
        <v>4167</v>
      </c>
      <c r="BE36" s="187">
        <v>4167</v>
      </c>
      <c r="BF36" s="187">
        <v>4167</v>
      </c>
      <c r="BG36" s="187">
        <v>4167</v>
      </c>
      <c r="BH36" s="187">
        <v>4167</v>
      </c>
      <c r="BI36" s="187">
        <v>4167</v>
      </c>
      <c r="BJ36" s="188">
        <v>4167</v>
      </c>
      <c r="BK36" s="187">
        <v>4167</v>
      </c>
      <c r="BL36" s="187">
        <v>4167</v>
      </c>
      <c r="BM36" s="187">
        <v>4167</v>
      </c>
      <c r="BN36" s="187">
        <v>4167</v>
      </c>
      <c r="BO36" s="187">
        <v>4167</v>
      </c>
      <c r="BP36" s="187">
        <v>4167</v>
      </c>
      <c r="BQ36" s="187">
        <v>4167</v>
      </c>
      <c r="BR36" s="187">
        <v>4167</v>
      </c>
      <c r="BS36" s="187">
        <v>4167</v>
      </c>
      <c r="BT36" s="187">
        <v>4167</v>
      </c>
      <c r="BU36" s="187">
        <v>4167</v>
      </c>
      <c r="BV36" s="188">
        <v>4167</v>
      </c>
      <c r="BW36" s="187">
        <v>4167</v>
      </c>
      <c r="BX36" s="187">
        <v>4167</v>
      </c>
      <c r="BY36" s="187">
        <v>4167</v>
      </c>
      <c r="BZ36" s="187">
        <v>4167</v>
      </c>
      <c r="CA36" s="187">
        <v>4167</v>
      </c>
      <c r="CB36" s="187">
        <v>4167</v>
      </c>
      <c r="CC36" s="187">
        <v>4167</v>
      </c>
      <c r="CD36" s="187">
        <v>4167</v>
      </c>
      <c r="CE36" s="187">
        <v>4167</v>
      </c>
      <c r="CF36" s="187">
        <v>4167</v>
      </c>
      <c r="CG36" s="187">
        <v>4167</v>
      </c>
      <c r="CH36" s="188">
        <v>4167</v>
      </c>
      <c r="CI36" s="187">
        <v>4167</v>
      </c>
      <c r="CJ36" s="126"/>
      <c r="CK36" s="126"/>
      <c r="CL36" s="126"/>
      <c r="CM36" s="126"/>
      <c r="CN36" s="126"/>
      <c r="CO36" s="126"/>
      <c r="CP36" s="126"/>
      <c r="CQ36" s="126"/>
      <c r="CR36" s="126"/>
      <c r="CS36" s="126"/>
      <c r="CT36" s="127"/>
      <c r="CU36" s="58">
        <f t="shared" si="7"/>
        <v>150012</v>
      </c>
      <c r="CV36" s="52"/>
      <c r="CW36" s="52"/>
      <c r="CX36" s="52"/>
      <c r="CY36" s="52"/>
      <c r="CZ36" s="52"/>
      <c r="DA36" s="52"/>
      <c r="DB36" s="52"/>
    </row>
    <row r="37" spans="1:106" ht="12.5">
      <c r="A37" s="183">
        <v>2027</v>
      </c>
      <c r="B37" s="184" t="s">
        <v>80</v>
      </c>
      <c r="C37" s="184"/>
      <c r="D37" s="184" t="s">
        <v>165</v>
      </c>
      <c r="E37" s="184" t="s">
        <v>172</v>
      </c>
      <c r="F37" s="184">
        <v>36</v>
      </c>
      <c r="G37" s="185">
        <v>150000</v>
      </c>
      <c r="H37" s="185">
        <v>450000</v>
      </c>
      <c r="I37" s="52"/>
      <c r="J37" s="186" t="s">
        <v>165</v>
      </c>
      <c r="K37" s="128"/>
      <c r="L37" s="107"/>
      <c r="M37" s="108"/>
      <c r="N37" s="109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8"/>
      <c r="Z37" s="72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1"/>
      <c r="AL37" s="72"/>
      <c r="AM37" s="73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1"/>
      <c r="AY37" s="72"/>
      <c r="AZ37" s="70"/>
      <c r="BA37" s="70"/>
      <c r="BB37" s="70"/>
      <c r="BC37" s="187">
        <v>12500</v>
      </c>
      <c r="BD37" s="187">
        <v>12500</v>
      </c>
      <c r="BE37" s="187">
        <v>12500</v>
      </c>
      <c r="BF37" s="187">
        <v>12500</v>
      </c>
      <c r="BG37" s="187">
        <v>12500</v>
      </c>
      <c r="BH37" s="187">
        <v>12500</v>
      </c>
      <c r="BI37" s="187">
        <v>12500</v>
      </c>
      <c r="BJ37" s="189">
        <v>12500</v>
      </c>
      <c r="BK37" s="187">
        <v>12500</v>
      </c>
      <c r="BL37" s="187">
        <v>12500</v>
      </c>
      <c r="BM37" s="187">
        <v>12500</v>
      </c>
      <c r="BN37" s="187">
        <v>12500</v>
      </c>
      <c r="BO37" s="187">
        <v>12500</v>
      </c>
      <c r="BP37" s="187">
        <v>12500</v>
      </c>
      <c r="BQ37" s="187">
        <v>12500</v>
      </c>
      <c r="BR37" s="187">
        <v>12500</v>
      </c>
      <c r="BS37" s="187">
        <v>12500</v>
      </c>
      <c r="BT37" s="187">
        <v>12500</v>
      </c>
      <c r="BU37" s="187">
        <v>12500</v>
      </c>
      <c r="BV37" s="188">
        <v>12500</v>
      </c>
      <c r="BW37" s="187">
        <v>12500</v>
      </c>
      <c r="BX37" s="187">
        <v>12500</v>
      </c>
      <c r="BY37" s="187">
        <v>12500</v>
      </c>
      <c r="BZ37" s="187">
        <v>12500</v>
      </c>
      <c r="CA37" s="187">
        <v>12500</v>
      </c>
      <c r="CB37" s="187">
        <v>12500</v>
      </c>
      <c r="CC37" s="187">
        <v>12500</v>
      </c>
      <c r="CD37" s="187">
        <v>12500</v>
      </c>
      <c r="CE37" s="187">
        <v>12500</v>
      </c>
      <c r="CF37" s="187">
        <v>12500</v>
      </c>
      <c r="CG37" s="187">
        <v>12500</v>
      </c>
      <c r="CH37" s="188">
        <v>12500</v>
      </c>
      <c r="CI37" s="187">
        <v>12500</v>
      </c>
      <c r="CJ37" s="187">
        <v>12500</v>
      </c>
      <c r="CK37" s="187">
        <v>12500</v>
      </c>
      <c r="CL37" s="187">
        <v>12500</v>
      </c>
      <c r="CM37" s="126"/>
      <c r="CN37" s="126"/>
      <c r="CO37" s="126"/>
      <c r="CP37" s="126"/>
      <c r="CQ37" s="126"/>
      <c r="CR37" s="126"/>
      <c r="CS37" s="126"/>
      <c r="CT37" s="127"/>
      <c r="CU37" s="58">
        <f t="shared" si="7"/>
        <v>450000</v>
      </c>
      <c r="CV37" s="52"/>
      <c r="CW37" s="52"/>
      <c r="CX37" s="52"/>
      <c r="CY37" s="52"/>
      <c r="CZ37" s="52"/>
      <c r="DA37" s="52"/>
      <c r="DB37" s="52"/>
    </row>
    <row r="38" spans="1:106" ht="12.5">
      <c r="A38" s="183">
        <v>2027</v>
      </c>
      <c r="B38" s="184" t="s">
        <v>80</v>
      </c>
      <c r="C38" s="184"/>
      <c r="D38" s="184" t="s">
        <v>167</v>
      </c>
      <c r="E38" s="184" t="s">
        <v>173</v>
      </c>
      <c r="F38" s="184">
        <v>36</v>
      </c>
      <c r="G38" s="185">
        <v>150000</v>
      </c>
      <c r="H38" s="185">
        <v>450000</v>
      </c>
      <c r="I38" s="52"/>
      <c r="J38" s="186" t="s">
        <v>167</v>
      </c>
      <c r="K38" s="128"/>
      <c r="L38" s="107"/>
      <c r="M38" s="108"/>
      <c r="N38" s="109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8"/>
      <c r="Z38" s="72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1"/>
      <c r="AL38" s="72"/>
      <c r="AM38" s="73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1"/>
      <c r="AY38" s="72"/>
      <c r="AZ38" s="70"/>
      <c r="BA38" s="70"/>
      <c r="BB38" s="70"/>
      <c r="BC38" s="70"/>
      <c r="BD38" s="70"/>
      <c r="BE38" s="70"/>
      <c r="BF38" s="70"/>
      <c r="BG38" s="187">
        <v>12500</v>
      </c>
      <c r="BH38" s="187">
        <v>12500</v>
      </c>
      <c r="BI38" s="187">
        <v>12500</v>
      </c>
      <c r="BJ38" s="189">
        <v>12500</v>
      </c>
      <c r="BK38" s="187">
        <v>12500</v>
      </c>
      <c r="BL38" s="187">
        <v>12500</v>
      </c>
      <c r="BM38" s="187">
        <v>12500</v>
      </c>
      <c r="BN38" s="187">
        <v>12500</v>
      </c>
      <c r="BO38" s="187">
        <v>12500</v>
      </c>
      <c r="BP38" s="187">
        <v>12500</v>
      </c>
      <c r="BQ38" s="187">
        <v>12500</v>
      </c>
      <c r="BR38" s="187">
        <v>12500</v>
      </c>
      <c r="BS38" s="187">
        <v>12500</v>
      </c>
      <c r="BT38" s="187">
        <v>12500</v>
      </c>
      <c r="BU38" s="187">
        <v>12500</v>
      </c>
      <c r="BV38" s="188">
        <v>12500</v>
      </c>
      <c r="BW38" s="187">
        <v>12500</v>
      </c>
      <c r="BX38" s="187">
        <v>12500</v>
      </c>
      <c r="BY38" s="187">
        <v>12500</v>
      </c>
      <c r="BZ38" s="187">
        <v>12500</v>
      </c>
      <c r="CA38" s="187">
        <v>12500</v>
      </c>
      <c r="CB38" s="187">
        <v>12500</v>
      </c>
      <c r="CC38" s="187">
        <v>12500</v>
      </c>
      <c r="CD38" s="187">
        <v>12500</v>
      </c>
      <c r="CE38" s="187">
        <v>12500</v>
      </c>
      <c r="CF38" s="187">
        <v>12500</v>
      </c>
      <c r="CG38" s="187">
        <v>12500</v>
      </c>
      <c r="CH38" s="188">
        <v>12500</v>
      </c>
      <c r="CI38" s="187">
        <v>12500</v>
      </c>
      <c r="CJ38" s="187">
        <v>12500</v>
      </c>
      <c r="CK38" s="187">
        <v>12500</v>
      </c>
      <c r="CL38" s="187">
        <v>12500</v>
      </c>
      <c r="CM38" s="187">
        <v>12500</v>
      </c>
      <c r="CN38" s="187">
        <v>12500</v>
      </c>
      <c r="CO38" s="187">
        <v>12500</v>
      </c>
      <c r="CP38" s="187">
        <v>12500</v>
      </c>
      <c r="CQ38" s="126"/>
      <c r="CR38" s="126"/>
      <c r="CS38" s="126"/>
      <c r="CT38" s="127"/>
      <c r="CU38" s="58">
        <f t="shared" si="7"/>
        <v>450000</v>
      </c>
      <c r="CV38" s="52"/>
      <c r="CW38" s="52"/>
      <c r="CX38" s="52"/>
      <c r="CY38" s="52"/>
      <c r="CZ38" s="52"/>
      <c r="DA38" s="52"/>
      <c r="DB38" s="52"/>
    </row>
    <row r="39" spans="1:106" ht="12.5">
      <c r="A39" s="183">
        <v>2027</v>
      </c>
      <c r="B39" s="184" t="s">
        <v>80</v>
      </c>
      <c r="C39" s="184"/>
      <c r="D39" s="184" t="s">
        <v>169</v>
      </c>
      <c r="E39" s="184" t="s">
        <v>174</v>
      </c>
      <c r="F39" s="184">
        <v>36</v>
      </c>
      <c r="G39" s="185">
        <v>150000</v>
      </c>
      <c r="H39" s="185">
        <v>450000</v>
      </c>
      <c r="I39" s="52"/>
      <c r="J39" s="186" t="s">
        <v>169</v>
      </c>
      <c r="K39" s="128"/>
      <c r="L39" s="107"/>
      <c r="M39" s="108"/>
      <c r="N39" s="109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8"/>
      <c r="Z39" s="72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1"/>
      <c r="AL39" s="72"/>
      <c r="AM39" s="73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1"/>
      <c r="AY39" s="72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189">
        <v>12500</v>
      </c>
      <c r="BK39" s="187">
        <v>12500</v>
      </c>
      <c r="BL39" s="187">
        <v>12500</v>
      </c>
      <c r="BM39" s="187">
        <v>12500</v>
      </c>
      <c r="BN39" s="187">
        <v>12500</v>
      </c>
      <c r="BO39" s="187">
        <v>12500</v>
      </c>
      <c r="BP39" s="187">
        <v>12500</v>
      </c>
      <c r="BQ39" s="187">
        <v>12500</v>
      </c>
      <c r="BR39" s="187">
        <v>12500</v>
      </c>
      <c r="BS39" s="187">
        <v>12500</v>
      </c>
      <c r="BT39" s="187">
        <v>12500</v>
      </c>
      <c r="BU39" s="187">
        <v>12500</v>
      </c>
      <c r="BV39" s="188">
        <v>12500</v>
      </c>
      <c r="BW39" s="187">
        <v>12500</v>
      </c>
      <c r="BX39" s="187">
        <v>12500</v>
      </c>
      <c r="BY39" s="187">
        <v>12500</v>
      </c>
      <c r="BZ39" s="187">
        <v>12500</v>
      </c>
      <c r="CA39" s="187">
        <v>12500</v>
      </c>
      <c r="CB39" s="187">
        <v>12500</v>
      </c>
      <c r="CC39" s="187">
        <v>12500</v>
      </c>
      <c r="CD39" s="187">
        <v>12500</v>
      </c>
      <c r="CE39" s="187">
        <v>12500</v>
      </c>
      <c r="CF39" s="187">
        <v>12500</v>
      </c>
      <c r="CG39" s="187">
        <v>12500</v>
      </c>
      <c r="CH39" s="188">
        <v>12500</v>
      </c>
      <c r="CI39" s="187">
        <v>12500</v>
      </c>
      <c r="CJ39" s="187">
        <v>12500</v>
      </c>
      <c r="CK39" s="187">
        <v>12500</v>
      </c>
      <c r="CL39" s="187">
        <v>12500</v>
      </c>
      <c r="CM39" s="187">
        <v>12500</v>
      </c>
      <c r="CN39" s="187">
        <v>12500</v>
      </c>
      <c r="CO39" s="187">
        <v>12500</v>
      </c>
      <c r="CP39" s="187">
        <v>12500</v>
      </c>
      <c r="CQ39" s="187">
        <v>12500</v>
      </c>
      <c r="CR39" s="187">
        <v>12500</v>
      </c>
      <c r="CS39" s="187">
        <v>12500</v>
      </c>
      <c r="CT39" s="127"/>
      <c r="CU39" s="58">
        <f t="shared" si="7"/>
        <v>450000</v>
      </c>
      <c r="CV39" s="52"/>
      <c r="CW39" s="52"/>
      <c r="CX39" s="52"/>
      <c r="CY39" s="52"/>
      <c r="CZ39" s="52"/>
      <c r="DA39" s="52"/>
      <c r="DB39" s="52"/>
    </row>
    <row r="40" spans="1:106" ht="12.5">
      <c r="A40" s="190">
        <v>2028</v>
      </c>
      <c r="B40" s="191"/>
      <c r="C40" s="191"/>
      <c r="D40" s="191" t="s">
        <v>163</v>
      </c>
      <c r="E40" s="191" t="s">
        <v>175</v>
      </c>
      <c r="F40" s="191">
        <v>36</v>
      </c>
      <c r="G40" s="192">
        <v>70000</v>
      </c>
      <c r="H40" s="192">
        <f t="shared" ref="H40:H43" si="8">G40*3</f>
        <v>210000</v>
      </c>
      <c r="I40" s="52"/>
      <c r="J40" s="66"/>
      <c r="K40" s="128"/>
      <c r="L40" s="107"/>
      <c r="M40" s="108"/>
      <c r="N40" s="109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8"/>
      <c r="Z40" s="110"/>
      <c r="AA40" s="111"/>
      <c r="AB40" s="111"/>
      <c r="AC40" s="111"/>
      <c r="AD40" s="111"/>
      <c r="AE40" s="111"/>
      <c r="AF40" s="111"/>
      <c r="AG40" s="70"/>
      <c r="AH40" s="70"/>
      <c r="AI40" s="70"/>
      <c r="AJ40" s="70"/>
      <c r="AK40" s="71"/>
      <c r="AL40" s="72"/>
      <c r="AM40" s="73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1"/>
      <c r="AY40" s="72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  <c r="BK40" s="72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1"/>
      <c r="BW40" s="110"/>
      <c r="BX40" s="111"/>
      <c r="BY40" s="111"/>
      <c r="BZ40" s="111"/>
      <c r="CA40" s="111"/>
      <c r="CB40" s="111"/>
      <c r="CC40" s="111"/>
      <c r="CD40" s="111"/>
      <c r="CE40" s="126"/>
      <c r="CF40" s="126"/>
      <c r="CG40" s="126"/>
      <c r="CH40" s="127"/>
      <c r="CI40" s="150"/>
      <c r="CJ40" s="126"/>
      <c r="CK40" s="126"/>
      <c r="CL40" s="126"/>
      <c r="CM40" s="126"/>
      <c r="CN40" s="126"/>
      <c r="CO40" s="126"/>
      <c r="CP40" s="126"/>
      <c r="CQ40" s="126"/>
      <c r="CR40" s="126"/>
      <c r="CS40" s="126"/>
      <c r="CT40" s="127"/>
      <c r="CU40" s="58">
        <f t="shared" si="7"/>
        <v>0</v>
      </c>
      <c r="CV40" s="52"/>
      <c r="CW40" s="52"/>
      <c r="CX40" s="52"/>
      <c r="CY40" s="52"/>
      <c r="CZ40" s="52"/>
      <c r="DA40" s="52"/>
      <c r="DB40" s="52"/>
    </row>
    <row r="41" spans="1:106" ht="12.5">
      <c r="A41" s="190">
        <v>2028</v>
      </c>
      <c r="B41" s="191"/>
      <c r="C41" s="191"/>
      <c r="D41" s="191" t="s">
        <v>165</v>
      </c>
      <c r="E41" s="191" t="s">
        <v>176</v>
      </c>
      <c r="F41" s="191">
        <v>36</v>
      </c>
      <c r="G41" s="192">
        <v>170000</v>
      </c>
      <c r="H41" s="192">
        <f t="shared" si="8"/>
        <v>510000</v>
      </c>
      <c r="I41" s="130"/>
      <c r="J41" s="60" t="s">
        <v>177</v>
      </c>
      <c r="K41" s="61">
        <v>10</v>
      </c>
      <c r="L41" s="61">
        <v>11</v>
      </c>
      <c r="M41" s="62">
        <v>12</v>
      </c>
      <c r="N41" s="63">
        <v>2024</v>
      </c>
      <c r="O41" s="61">
        <v>2</v>
      </c>
      <c r="P41" s="61">
        <v>3</v>
      </c>
      <c r="Q41" s="61">
        <v>4</v>
      </c>
      <c r="R41" s="61">
        <v>5</v>
      </c>
      <c r="S41" s="61">
        <v>6</v>
      </c>
      <c r="T41" s="61">
        <v>7</v>
      </c>
      <c r="U41" s="61">
        <v>8</v>
      </c>
      <c r="V41" s="61">
        <v>9</v>
      </c>
      <c r="W41" s="61">
        <v>10</v>
      </c>
      <c r="X41" s="61">
        <v>11</v>
      </c>
      <c r="Y41" s="62">
        <v>12</v>
      </c>
      <c r="Z41" s="63">
        <v>2025</v>
      </c>
      <c r="AA41" s="61">
        <v>2</v>
      </c>
      <c r="AB41" s="61">
        <v>3</v>
      </c>
      <c r="AC41" s="61">
        <v>4</v>
      </c>
      <c r="AD41" s="61">
        <v>5</v>
      </c>
      <c r="AE41" s="61">
        <v>6</v>
      </c>
      <c r="AF41" s="61">
        <v>7</v>
      </c>
      <c r="AG41" s="61">
        <v>8</v>
      </c>
      <c r="AH41" s="61">
        <v>9</v>
      </c>
      <c r="AI41" s="61">
        <v>10</v>
      </c>
      <c r="AJ41" s="61">
        <v>11</v>
      </c>
      <c r="AK41" s="62">
        <v>12</v>
      </c>
      <c r="AL41" s="63">
        <v>2026</v>
      </c>
      <c r="AM41" s="64"/>
      <c r="AN41" s="61">
        <v>2</v>
      </c>
      <c r="AO41" s="61">
        <v>3</v>
      </c>
      <c r="AP41" s="61">
        <v>4</v>
      </c>
      <c r="AQ41" s="61">
        <v>5</v>
      </c>
      <c r="AR41" s="61">
        <v>6</v>
      </c>
      <c r="AS41" s="61">
        <v>7</v>
      </c>
      <c r="AT41" s="61">
        <v>8</v>
      </c>
      <c r="AU41" s="61">
        <v>9</v>
      </c>
      <c r="AV41" s="61">
        <v>10</v>
      </c>
      <c r="AW41" s="61">
        <v>11</v>
      </c>
      <c r="AX41" s="62">
        <v>12</v>
      </c>
      <c r="AY41" s="63">
        <v>2027</v>
      </c>
      <c r="AZ41" s="61">
        <v>2</v>
      </c>
      <c r="BA41" s="61">
        <v>3</v>
      </c>
      <c r="BB41" s="61">
        <v>4</v>
      </c>
      <c r="BC41" s="61">
        <v>5</v>
      </c>
      <c r="BD41" s="61">
        <v>6</v>
      </c>
      <c r="BE41" s="61">
        <v>7</v>
      </c>
      <c r="BF41" s="61">
        <v>8</v>
      </c>
      <c r="BG41" s="61">
        <v>9</v>
      </c>
      <c r="BH41" s="61">
        <v>10</v>
      </c>
      <c r="BI41" s="61">
        <v>11</v>
      </c>
      <c r="BJ41" s="62">
        <v>12</v>
      </c>
      <c r="BK41" s="63">
        <v>2028</v>
      </c>
      <c r="BL41" s="61">
        <v>2</v>
      </c>
      <c r="BM41" s="61">
        <v>3</v>
      </c>
      <c r="BN41" s="61">
        <v>4</v>
      </c>
      <c r="BO41" s="61">
        <v>5</v>
      </c>
      <c r="BP41" s="61">
        <v>6</v>
      </c>
      <c r="BQ41" s="61">
        <v>7</v>
      </c>
      <c r="BR41" s="61">
        <v>8</v>
      </c>
      <c r="BS41" s="61">
        <v>9</v>
      </c>
      <c r="BT41" s="61">
        <v>10</v>
      </c>
      <c r="BU41" s="61">
        <v>11</v>
      </c>
      <c r="BV41" s="62">
        <v>12</v>
      </c>
      <c r="BW41" s="63">
        <v>2029</v>
      </c>
      <c r="BX41" s="61">
        <v>2</v>
      </c>
      <c r="BY41" s="61">
        <v>3</v>
      </c>
      <c r="BZ41" s="61">
        <v>4</v>
      </c>
      <c r="CA41" s="61">
        <v>5</v>
      </c>
      <c r="CB41" s="61">
        <v>6</v>
      </c>
      <c r="CC41" s="61">
        <v>7</v>
      </c>
      <c r="CD41" s="61">
        <v>8</v>
      </c>
      <c r="CE41" s="61">
        <v>9</v>
      </c>
      <c r="CF41" s="61">
        <v>10</v>
      </c>
      <c r="CG41" s="61">
        <v>11</v>
      </c>
      <c r="CH41" s="62">
        <v>12</v>
      </c>
      <c r="CI41" s="63">
        <v>2030</v>
      </c>
      <c r="CJ41" s="61">
        <v>2</v>
      </c>
      <c r="CK41" s="61">
        <v>3</v>
      </c>
      <c r="CL41" s="61">
        <v>4</v>
      </c>
      <c r="CM41" s="61">
        <v>5</v>
      </c>
      <c r="CN41" s="61">
        <v>6</v>
      </c>
      <c r="CO41" s="61">
        <v>7</v>
      </c>
      <c r="CP41" s="61">
        <v>8</v>
      </c>
      <c r="CQ41" s="61">
        <v>9</v>
      </c>
      <c r="CR41" s="61">
        <v>10</v>
      </c>
      <c r="CS41" s="61">
        <v>11</v>
      </c>
      <c r="CT41" s="62">
        <v>12</v>
      </c>
      <c r="CU41" s="193"/>
      <c r="CV41" s="130"/>
      <c r="CW41" s="130"/>
      <c r="CX41" s="130"/>
      <c r="CY41" s="130"/>
      <c r="CZ41" s="130"/>
      <c r="DA41" s="130"/>
      <c r="DB41" s="130"/>
    </row>
    <row r="42" spans="1:106" ht="12.5">
      <c r="A42" s="190">
        <v>2028</v>
      </c>
      <c r="B42" s="191"/>
      <c r="C42" s="191"/>
      <c r="D42" s="191" t="s">
        <v>167</v>
      </c>
      <c r="E42" s="191" t="s">
        <v>178</v>
      </c>
      <c r="F42" s="191">
        <v>36</v>
      </c>
      <c r="G42" s="192">
        <v>180000</v>
      </c>
      <c r="H42" s="192">
        <f t="shared" si="8"/>
        <v>540000</v>
      </c>
      <c r="I42" s="130"/>
      <c r="J42" s="194" t="s">
        <v>179</v>
      </c>
      <c r="K42" s="195">
        <f t="shared" ref="K42:M42" si="9">SUMIF($C3:$C19,"영구",K3:K19)</f>
        <v>0</v>
      </c>
      <c r="L42" s="196">
        <f t="shared" si="9"/>
        <v>0</v>
      </c>
      <c r="M42" s="197">
        <f t="shared" si="9"/>
        <v>0</v>
      </c>
      <c r="N42" s="197">
        <f t="shared" ref="N42:Y42" si="10">SUMIF($C3:$C4,"영구",N3:N4)</f>
        <v>0</v>
      </c>
      <c r="O42" s="197">
        <f t="shared" si="10"/>
        <v>0</v>
      </c>
      <c r="P42" s="197">
        <f t="shared" si="10"/>
        <v>0</v>
      </c>
      <c r="Q42" s="197">
        <f t="shared" si="10"/>
        <v>0</v>
      </c>
      <c r="R42" s="197">
        <f t="shared" si="10"/>
        <v>0</v>
      </c>
      <c r="S42" s="197">
        <f t="shared" si="10"/>
        <v>0</v>
      </c>
      <c r="T42" s="197">
        <f t="shared" si="10"/>
        <v>0</v>
      </c>
      <c r="U42" s="197">
        <f t="shared" si="10"/>
        <v>0</v>
      </c>
      <c r="V42" s="197">
        <f t="shared" si="10"/>
        <v>0</v>
      </c>
      <c r="W42" s="197">
        <f t="shared" si="10"/>
        <v>0</v>
      </c>
      <c r="X42" s="197">
        <f t="shared" si="10"/>
        <v>0</v>
      </c>
      <c r="Y42" s="197">
        <f t="shared" si="10"/>
        <v>0</v>
      </c>
      <c r="Z42" s="197">
        <v>0</v>
      </c>
      <c r="AA42" s="197">
        <v>0</v>
      </c>
      <c r="AB42" s="197">
        <v>0</v>
      </c>
      <c r="AC42" s="197">
        <v>0</v>
      </c>
      <c r="AD42" s="197">
        <v>0</v>
      </c>
      <c r="AE42" s="197">
        <v>0</v>
      </c>
      <c r="AF42" s="197">
        <v>0</v>
      </c>
      <c r="AG42" s="197">
        <v>0</v>
      </c>
      <c r="AH42" s="197">
        <v>0</v>
      </c>
      <c r="AI42" s="197">
        <v>0</v>
      </c>
      <c r="AJ42" s="197">
        <v>0</v>
      </c>
      <c r="AK42" s="197">
        <v>0</v>
      </c>
      <c r="AL42" s="197">
        <v>0</v>
      </c>
      <c r="AM42" s="198"/>
      <c r="AN42" s="197">
        <v>0</v>
      </c>
      <c r="AO42" s="197">
        <v>0</v>
      </c>
      <c r="AP42" s="197">
        <v>0</v>
      </c>
      <c r="AQ42" s="197">
        <v>0</v>
      </c>
      <c r="AR42" s="197">
        <v>0</v>
      </c>
      <c r="AS42" s="197">
        <v>0</v>
      </c>
      <c r="AT42" s="197">
        <v>0</v>
      </c>
      <c r="AU42" s="197">
        <v>0</v>
      </c>
      <c r="AV42" s="197">
        <v>0</v>
      </c>
      <c r="AW42" s="197">
        <v>0</v>
      </c>
      <c r="AX42" s="197">
        <v>0</v>
      </c>
      <c r="AY42" s="197">
        <v>0</v>
      </c>
      <c r="AZ42" s="197">
        <v>0</v>
      </c>
      <c r="BA42" s="197">
        <v>0</v>
      </c>
      <c r="BB42" s="197">
        <v>0</v>
      </c>
      <c r="BC42" s="197">
        <v>0</v>
      </c>
      <c r="BD42" s="197">
        <v>0</v>
      </c>
      <c r="BE42" s="197">
        <v>0</v>
      </c>
      <c r="BF42" s="197">
        <v>0</v>
      </c>
      <c r="BG42" s="197">
        <v>0</v>
      </c>
      <c r="BH42" s="197">
        <v>0</v>
      </c>
      <c r="BI42" s="197">
        <v>0</v>
      </c>
      <c r="BJ42" s="197">
        <v>0</v>
      </c>
      <c r="BK42" s="197">
        <v>0</v>
      </c>
      <c r="BL42" s="197">
        <v>0</v>
      </c>
      <c r="BM42" s="197">
        <v>0</v>
      </c>
      <c r="BN42" s="197">
        <v>0</v>
      </c>
      <c r="BO42" s="197">
        <v>0</v>
      </c>
      <c r="BP42" s="197">
        <v>0</v>
      </c>
      <c r="BQ42" s="197">
        <v>0</v>
      </c>
      <c r="BR42" s="197">
        <v>0</v>
      </c>
      <c r="BS42" s="197">
        <v>0</v>
      </c>
      <c r="BT42" s="197">
        <v>0</v>
      </c>
      <c r="BU42" s="197">
        <v>0</v>
      </c>
      <c r="BV42" s="197">
        <v>0</v>
      </c>
      <c r="BW42" s="197">
        <v>0</v>
      </c>
      <c r="BX42" s="197">
        <v>0</v>
      </c>
      <c r="BY42" s="197">
        <v>0</v>
      </c>
      <c r="BZ42" s="197">
        <v>0</v>
      </c>
      <c r="CA42" s="197">
        <v>0</v>
      </c>
      <c r="CB42" s="197">
        <v>0</v>
      </c>
      <c r="CC42" s="197">
        <v>0</v>
      </c>
      <c r="CD42" s="197">
        <v>0</v>
      </c>
      <c r="CE42" s="197">
        <v>0</v>
      </c>
      <c r="CF42" s="197">
        <v>0</v>
      </c>
      <c r="CG42" s="197">
        <v>0</v>
      </c>
      <c r="CH42" s="197">
        <v>0</v>
      </c>
      <c r="CI42" s="197">
        <v>0</v>
      </c>
      <c r="CJ42" s="197">
        <v>0</v>
      </c>
      <c r="CK42" s="197">
        <v>0</v>
      </c>
      <c r="CL42" s="197">
        <v>0</v>
      </c>
      <c r="CM42" s="197">
        <v>0</v>
      </c>
      <c r="CN42" s="197">
        <v>0</v>
      </c>
      <c r="CO42" s="197">
        <v>0</v>
      </c>
      <c r="CP42" s="197">
        <v>0</v>
      </c>
      <c r="CQ42" s="197">
        <v>0</v>
      </c>
      <c r="CR42" s="197">
        <v>0</v>
      </c>
      <c r="CS42" s="197">
        <v>0</v>
      </c>
      <c r="CT42" s="197">
        <v>0</v>
      </c>
      <c r="CU42" s="193"/>
      <c r="CV42" s="130"/>
      <c r="CW42" s="130"/>
      <c r="CX42" s="130"/>
      <c r="CY42" s="130"/>
      <c r="CZ42" s="130"/>
      <c r="DA42" s="130"/>
      <c r="DB42" s="130"/>
    </row>
    <row r="43" spans="1:106" ht="12.5">
      <c r="A43" s="190">
        <v>2028</v>
      </c>
      <c r="B43" s="191"/>
      <c r="C43" s="191"/>
      <c r="D43" s="191" t="s">
        <v>169</v>
      </c>
      <c r="E43" s="191" t="s">
        <v>180</v>
      </c>
      <c r="F43" s="191">
        <v>36</v>
      </c>
      <c r="G43" s="192">
        <v>180000</v>
      </c>
      <c r="H43" s="192">
        <f t="shared" si="8"/>
        <v>540000</v>
      </c>
      <c r="I43" s="130"/>
      <c r="J43" s="194" t="s">
        <v>181</v>
      </c>
      <c r="K43" s="195">
        <f t="shared" ref="K43:M43" si="11">SUMIF($C4:$C20,"&lt;&gt;영구",K4:K20)</f>
        <v>850</v>
      </c>
      <c r="L43" s="196">
        <f t="shared" si="11"/>
        <v>850</v>
      </c>
      <c r="M43" s="197">
        <f t="shared" si="11"/>
        <v>850</v>
      </c>
      <c r="N43" s="197">
        <f t="shared" ref="N43:Y43" si="12">SUMIF($C4,"&lt;&gt;영구",N4)</f>
        <v>850</v>
      </c>
      <c r="O43" s="197">
        <f t="shared" si="12"/>
        <v>850</v>
      </c>
      <c r="P43" s="197">
        <f t="shared" si="12"/>
        <v>850</v>
      </c>
      <c r="Q43" s="197">
        <f t="shared" si="12"/>
        <v>0</v>
      </c>
      <c r="R43" s="197">
        <f t="shared" si="12"/>
        <v>0</v>
      </c>
      <c r="S43" s="197">
        <f t="shared" si="12"/>
        <v>0</v>
      </c>
      <c r="T43" s="197">
        <f t="shared" si="12"/>
        <v>0</v>
      </c>
      <c r="U43" s="197">
        <f t="shared" si="12"/>
        <v>0</v>
      </c>
      <c r="V43" s="197">
        <f t="shared" si="12"/>
        <v>0</v>
      </c>
      <c r="W43" s="197">
        <f t="shared" si="12"/>
        <v>0</v>
      </c>
      <c r="X43" s="197">
        <f t="shared" si="12"/>
        <v>0</v>
      </c>
      <c r="Y43" s="197">
        <f t="shared" si="12"/>
        <v>0</v>
      </c>
      <c r="Z43" s="197">
        <f t="shared" ref="Z43:AK43" si="13">SUM(Z4:Z11)</f>
        <v>10446.999999999998</v>
      </c>
      <c r="AA43" s="197">
        <f t="shared" si="13"/>
        <v>10446.999999999998</v>
      </c>
      <c r="AB43" s="197">
        <f t="shared" si="13"/>
        <v>10446.999999999998</v>
      </c>
      <c r="AC43" s="197">
        <f t="shared" si="13"/>
        <v>10446.999999999998</v>
      </c>
      <c r="AD43" s="197">
        <f t="shared" si="13"/>
        <v>6237.666666666667</v>
      </c>
      <c r="AE43" s="197">
        <f t="shared" si="13"/>
        <v>6237.666666666667</v>
      </c>
      <c r="AF43" s="197">
        <f t="shared" si="13"/>
        <v>6237.666666666667</v>
      </c>
      <c r="AG43" s="197">
        <f t="shared" si="13"/>
        <v>6237.666666666667</v>
      </c>
      <c r="AH43" s="197">
        <f t="shared" si="13"/>
        <v>6237.666666666667</v>
      </c>
      <c r="AI43" s="197">
        <f t="shared" si="13"/>
        <v>6237.666666666667</v>
      </c>
      <c r="AJ43" s="197">
        <f t="shared" si="13"/>
        <v>6237.666666666667</v>
      </c>
      <c r="AK43" s="197">
        <f t="shared" si="13"/>
        <v>6237.666666666667</v>
      </c>
      <c r="AL43" s="197">
        <f>SUM(,AL4:AL31)</f>
        <v>23561.885000000002</v>
      </c>
      <c r="AM43" s="198"/>
      <c r="AN43" s="197">
        <f t="shared" ref="AN43:AX43" si="14">SUM(,AN4:AN31)</f>
        <v>24750.114999999998</v>
      </c>
      <c r="AO43" s="197">
        <f t="shared" si="14"/>
        <v>25466.494999999999</v>
      </c>
      <c r="AP43" s="197">
        <f t="shared" si="14"/>
        <v>25466.494999999999</v>
      </c>
      <c r="AQ43" s="197">
        <f t="shared" si="14"/>
        <v>25466.494999999999</v>
      </c>
      <c r="AR43" s="197">
        <f t="shared" si="14"/>
        <v>25466.494999999999</v>
      </c>
      <c r="AS43" s="197">
        <f t="shared" si="14"/>
        <v>25466.494999999999</v>
      </c>
      <c r="AT43" s="197">
        <f t="shared" si="14"/>
        <v>25466.494999999999</v>
      </c>
      <c r="AU43" s="197">
        <f t="shared" si="14"/>
        <v>25466.494999999999</v>
      </c>
      <c r="AV43" s="197">
        <f t="shared" si="14"/>
        <v>25466.494999999999</v>
      </c>
      <c r="AW43" s="197">
        <f t="shared" si="14"/>
        <v>25466.494999999999</v>
      </c>
      <c r="AX43" s="197">
        <f t="shared" si="14"/>
        <v>25466.494999999999</v>
      </c>
      <c r="AY43" s="197">
        <f t="shared" ref="AY43:BJ43" si="15">SUM(AY4:AY35)</f>
        <v>58799.494999999995</v>
      </c>
      <c r="AZ43" s="197">
        <f t="shared" si="15"/>
        <v>58799.494999999995</v>
      </c>
      <c r="BA43" s="197">
        <f t="shared" si="15"/>
        <v>58799.494999999995</v>
      </c>
      <c r="BB43" s="197">
        <f t="shared" si="15"/>
        <v>58799.494999999995</v>
      </c>
      <c r="BC43" s="197">
        <f t="shared" si="15"/>
        <v>58799.494999999995</v>
      </c>
      <c r="BD43" s="197">
        <f t="shared" si="15"/>
        <v>58799.494999999995</v>
      </c>
      <c r="BE43" s="197">
        <f t="shared" si="15"/>
        <v>58799.494999999995</v>
      </c>
      <c r="BF43" s="197">
        <f t="shared" si="15"/>
        <v>58799.494999999995</v>
      </c>
      <c r="BG43" s="197">
        <f t="shared" si="15"/>
        <v>58799.494999999995</v>
      </c>
      <c r="BH43" s="197">
        <f t="shared" si="15"/>
        <v>58799.494999999995</v>
      </c>
      <c r="BI43" s="197">
        <f t="shared" si="15"/>
        <v>58799.494999999995</v>
      </c>
      <c r="BJ43" s="197">
        <f t="shared" si="15"/>
        <v>58799.494999999995</v>
      </c>
      <c r="BK43" s="197">
        <f t="shared" ref="BK43:CT43" si="16">SUM(BK4:BK39)</f>
        <v>100466.495</v>
      </c>
      <c r="BL43" s="197">
        <f t="shared" si="16"/>
        <v>100045.59833333333</v>
      </c>
      <c r="BM43" s="197">
        <f t="shared" si="16"/>
        <v>100045.59833333333</v>
      </c>
      <c r="BN43" s="197">
        <f t="shared" si="16"/>
        <v>100045.59833333333</v>
      </c>
      <c r="BO43" s="197">
        <f t="shared" si="16"/>
        <v>100045.59833333333</v>
      </c>
      <c r="BP43" s="197">
        <f t="shared" si="16"/>
        <v>100045.59833333333</v>
      </c>
      <c r="BQ43" s="197">
        <f t="shared" si="16"/>
        <v>100045.59833333333</v>
      </c>
      <c r="BR43" s="197">
        <f t="shared" si="16"/>
        <v>100045.59833333333</v>
      </c>
      <c r="BS43" s="197">
        <f t="shared" si="16"/>
        <v>100045.59833333333</v>
      </c>
      <c r="BT43" s="197">
        <f t="shared" si="16"/>
        <v>100045.59833333333</v>
      </c>
      <c r="BU43" s="197">
        <f t="shared" si="16"/>
        <v>98848.931666666671</v>
      </c>
      <c r="BV43" s="197">
        <f t="shared" si="16"/>
        <v>98848.931666666671</v>
      </c>
      <c r="BW43" s="197">
        <f t="shared" si="16"/>
        <v>98848.931666666671</v>
      </c>
      <c r="BX43" s="197">
        <f t="shared" si="16"/>
        <v>98848.931666666671</v>
      </c>
      <c r="BY43" s="197">
        <f t="shared" si="16"/>
        <v>95515.931666666671</v>
      </c>
      <c r="BZ43" s="197">
        <f t="shared" si="16"/>
        <v>95515.931666666671</v>
      </c>
      <c r="CA43" s="197">
        <f t="shared" si="16"/>
        <v>95515.931666666671</v>
      </c>
      <c r="CB43" s="197">
        <f t="shared" si="16"/>
        <v>85515.931666666671</v>
      </c>
      <c r="CC43" s="197">
        <f t="shared" si="16"/>
        <v>85515.931666666671</v>
      </c>
      <c r="CD43" s="197">
        <f t="shared" si="16"/>
        <v>74443.431666666671</v>
      </c>
      <c r="CE43" s="197">
        <f t="shared" si="16"/>
        <v>74443.431666666671</v>
      </c>
      <c r="CF43" s="197">
        <f t="shared" si="16"/>
        <v>74443.431666666671</v>
      </c>
      <c r="CG43" s="197">
        <f t="shared" si="16"/>
        <v>63205.431666666671</v>
      </c>
      <c r="CH43" s="197">
        <f t="shared" si="16"/>
        <v>61518.431666666671</v>
      </c>
      <c r="CI43" s="197">
        <f t="shared" si="16"/>
        <v>61518.431666666671</v>
      </c>
      <c r="CJ43" s="197">
        <f t="shared" si="16"/>
        <v>57351.431666666671</v>
      </c>
      <c r="CK43" s="197">
        <f t="shared" si="16"/>
        <v>57351.431666666671</v>
      </c>
      <c r="CL43" s="197">
        <f t="shared" si="16"/>
        <v>56313.348333333328</v>
      </c>
      <c r="CM43" s="197">
        <f t="shared" si="16"/>
        <v>39604.014999999999</v>
      </c>
      <c r="CN43" s="197">
        <f t="shared" si="16"/>
        <v>38137.548333333332</v>
      </c>
      <c r="CO43" s="197">
        <f t="shared" si="16"/>
        <v>35207.131666666668</v>
      </c>
      <c r="CP43" s="197">
        <f t="shared" si="16"/>
        <v>35207.131666666668</v>
      </c>
      <c r="CQ43" s="197">
        <f t="shared" si="16"/>
        <v>21684.556666666667</v>
      </c>
      <c r="CR43" s="197">
        <f t="shared" si="16"/>
        <v>21684.556666666667</v>
      </c>
      <c r="CS43" s="197">
        <f t="shared" si="16"/>
        <v>21036.556666666667</v>
      </c>
      <c r="CT43" s="197">
        <f t="shared" si="16"/>
        <v>8536.5566666666673</v>
      </c>
      <c r="CU43" s="193"/>
      <c r="CV43" s="130"/>
      <c r="CW43" s="130"/>
      <c r="CX43" s="130"/>
      <c r="CY43" s="130"/>
      <c r="CZ43" s="130"/>
      <c r="DA43" s="130"/>
      <c r="DB43" s="130"/>
    </row>
    <row r="44" spans="1:106" ht="12.5">
      <c r="A44" s="52"/>
      <c r="B44" s="52"/>
      <c r="C44" s="52"/>
      <c r="D44" s="52"/>
      <c r="E44" s="52"/>
      <c r="F44" s="52"/>
      <c r="G44" s="52"/>
      <c r="H44" s="52"/>
      <c r="I44" s="52"/>
      <c r="J44" s="194" t="s">
        <v>182</v>
      </c>
      <c r="K44" s="272">
        <f>K42+K43+L42+L43+M42+M43</f>
        <v>2550</v>
      </c>
      <c r="L44" s="273"/>
      <c r="M44" s="274"/>
      <c r="N44" s="272">
        <f>SUM(N43:Y43)+SUM(N42:Y42)</f>
        <v>2550</v>
      </c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4"/>
      <c r="Z44" s="272">
        <f>SUM(Z43:AK43)+SUM(Z42:AK42)</f>
        <v>91689.333333333343</v>
      </c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4"/>
      <c r="AL44" s="272">
        <f>SUM(AL43:AX43)+SUM(AL42:AX42)</f>
        <v>302976.94999999995</v>
      </c>
      <c r="AM44" s="273"/>
      <c r="AN44" s="273"/>
      <c r="AO44" s="273"/>
      <c r="AP44" s="273"/>
      <c r="AQ44" s="273"/>
      <c r="AR44" s="273"/>
      <c r="AS44" s="273"/>
      <c r="AT44" s="273"/>
      <c r="AU44" s="273"/>
      <c r="AV44" s="273"/>
      <c r="AW44" s="273"/>
      <c r="AX44" s="274"/>
      <c r="AY44" s="272">
        <f>SUM(AY43:BJ43)+SUM(AY42:BJ42)</f>
        <v>705593.94</v>
      </c>
      <c r="AZ44" s="273"/>
      <c r="BA44" s="273"/>
      <c r="BB44" s="273"/>
      <c r="BC44" s="273"/>
      <c r="BD44" s="273"/>
      <c r="BE44" s="273"/>
      <c r="BF44" s="273"/>
      <c r="BG44" s="273"/>
      <c r="BH44" s="273"/>
      <c r="BI44" s="273"/>
      <c r="BJ44" s="274"/>
      <c r="BK44" s="272">
        <f>SUM(BK43:BV43)+SUM(BK42:BV42)</f>
        <v>1198574.7433333334</v>
      </c>
      <c r="BL44" s="273"/>
      <c r="BM44" s="273"/>
      <c r="BN44" s="273"/>
      <c r="BO44" s="273"/>
      <c r="BP44" s="273"/>
      <c r="BQ44" s="273"/>
      <c r="BR44" s="273"/>
      <c r="BS44" s="273"/>
      <c r="BT44" s="273"/>
      <c r="BU44" s="273"/>
      <c r="BV44" s="274"/>
      <c r="BW44" s="272">
        <f>SUM(BW43:CH43)+SUM(BW42:CH42)</f>
        <v>1003331.6799999998</v>
      </c>
      <c r="BX44" s="273"/>
      <c r="BY44" s="273"/>
      <c r="BZ44" s="273"/>
      <c r="CA44" s="273"/>
      <c r="CB44" s="273"/>
      <c r="CC44" s="273"/>
      <c r="CD44" s="273"/>
      <c r="CE44" s="273"/>
      <c r="CF44" s="273"/>
      <c r="CG44" s="273"/>
      <c r="CH44" s="274"/>
      <c r="CI44" s="272">
        <f>SUM(CI43:CT43)+SUM(CI42:CT42)</f>
        <v>453632.69666666654</v>
      </c>
      <c r="CJ44" s="273"/>
      <c r="CK44" s="273"/>
      <c r="CL44" s="273"/>
      <c r="CM44" s="273"/>
      <c r="CN44" s="273"/>
      <c r="CO44" s="273"/>
      <c r="CP44" s="273"/>
      <c r="CQ44" s="273"/>
      <c r="CR44" s="273"/>
      <c r="CS44" s="273"/>
      <c r="CT44" s="274"/>
      <c r="CU44" s="58"/>
      <c r="CV44" s="52"/>
      <c r="CW44" s="52"/>
      <c r="CX44" s="52"/>
      <c r="CY44" s="52"/>
      <c r="CZ44" s="52"/>
      <c r="DA44" s="52"/>
      <c r="DB44" s="52"/>
    </row>
    <row r="45" spans="1:106" ht="12.5">
      <c r="A45" s="52"/>
      <c r="B45" s="52"/>
      <c r="C45" s="52"/>
      <c r="D45" s="52"/>
      <c r="E45" s="52" t="s">
        <v>183</v>
      </c>
      <c r="F45" s="52"/>
      <c r="G45" s="199">
        <f>G40/12*11</f>
        <v>64166.666666666664</v>
      </c>
      <c r="H45" s="52"/>
      <c r="I45" s="130"/>
      <c r="J45" s="200" t="s">
        <v>184</v>
      </c>
      <c r="K45" s="195"/>
      <c r="L45" s="196"/>
      <c r="M45" s="197"/>
      <c r="N45" s="197">
        <f t="shared" ref="N45:Y45" si="17">SUMIF($C5:$C11,"영구",N5:N11)</f>
        <v>0</v>
      </c>
      <c r="O45" s="197">
        <f t="shared" si="17"/>
        <v>0</v>
      </c>
      <c r="P45" s="197">
        <f t="shared" si="17"/>
        <v>0</v>
      </c>
      <c r="Q45" s="197">
        <f t="shared" si="17"/>
        <v>0</v>
      </c>
      <c r="R45" s="197">
        <f t="shared" si="17"/>
        <v>0</v>
      </c>
      <c r="S45" s="197">
        <f t="shared" si="17"/>
        <v>0</v>
      </c>
      <c r="T45" s="197">
        <f t="shared" si="17"/>
        <v>43820</v>
      </c>
      <c r="U45" s="197">
        <f t="shared" si="17"/>
        <v>0</v>
      </c>
      <c r="V45" s="197">
        <f t="shared" si="17"/>
        <v>0</v>
      </c>
      <c r="W45" s="197">
        <f t="shared" si="17"/>
        <v>0</v>
      </c>
      <c r="X45" s="197">
        <f t="shared" si="17"/>
        <v>0</v>
      </c>
      <c r="Y45" s="197">
        <f t="shared" si="17"/>
        <v>0</v>
      </c>
      <c r="Z45" s="197">
        <v>0</v>
      </c>
      <c r="AA45" s="201">
        <v>0</v>
      </c>
      <c r="AB45" s="201">
        <v>0</v>
      </c>
      <c r="AC45" s="201">
        <v>0</v>
      </c>
      <c r="AD45" s="201">
        <v>0</v>
      </c>
      <c r="AE45" s="201">
        <v>0</v>
      </c>
      <c r="AF45" s="201">
        <v>0</v>
      </c>
      <c r="AG45" s="201">
        <v>0</v>
      </c>
      <c r="AH45" s="201">
        <v>0</v>
      </c>
      <c r="AI45" s="201">
        <v>0</v>
      </c>
      <c r="AJ45" s="201">
        <v>0</v>
      </c>
      <c r="AK45" s="201">
        <v>0</v>
      </c>
      <c r="AL45" s="201">
        <v>0</v>
      </c>
      <c r="AM45" s="202"/>
      <c r="AN45" s="201">
        <v>0</v>
      </c>
      <c r="AO45" s="201">
        <v>0</v>
      </c>
      <c r="AP45" s="201">
        <v>0</v>
      </c>
      <c r="AQ45" s="201">
        <v>0</v>
      </c>
      <c r="AR45" s="201">
        <v>0</v>
      </c>
      <c r="AS45" s="201">
        <v>0</v>
      </c>
      <c r="AT45" s="201">
        <v>0</v>
      </c>
      <c r="AU45" s="201">
        <v>0</v>
      </c>
      <c r="AV45" s="201">
        <v>0</v>
      </c>
      <c r="AW45" s="201">
        <v>0</v>
      </c>
      <c r="AX45" s="201">
        <v>0</v>
      </c>
      <c r="AY45" s="201">
        <v>0</v>
      </c>
      <c r="AZ45" s="201">
        <v>0</v>
      </c>
      <c r="BA45" s="201">
        <v>0</v>
      </c>
      <c r="BB45" s="201">
        <v>0</v>
      </c>
      <c r="BC45" s="201">
        <v>0</v>
      </c>
      <c r="BD45" s="201">
        <v>0</v>
      </c>
      <c r="BE45" s="201">
        <v>0</v>
      </c>
      <c r="BF45" s="201">
        <v>0</v>
      </c>
      <c r="BG45" s="201">
        <v>0</v>
      </c>
      <c r="BH45" s="201">
        <v>0</v>
      </c>
      <c r="BI45" s="201">
        <v>0</v>
      </c>
      <c r="BJ45" s="201">
        <v>0</v>
      </c>
      <c r="BK45" s="201">
        <v>0</v>
      </c>
      <c r="BL45" s="201">
        <v>0</v>
      </c>
      <c r="BM45" s="201">
        <v>0</v>
      </c>
      <c r="BN45" s="201">
        <v>0</v>
      </c>
      <c r="BO45" s="201">
        <v>0</v>
      </c>
      <c r="BP45" s="201">
        <v>0</v>
      </c>
      <c r="BQ45" s="201">
        <v>0</v>
      </c>
      <c r="BR45" s="201">
        <v>0</v>
      </c>
      <c r="BS45" s="201">
        <v>0</v>
      </c>
      <c r="BT45" s="201">
        <v>0</v>
      </c>
      <c r="BU45" s="201">
        <v>0</v>
      </c>
      <c r="BV45" s="201">
        <v>0</v>
      </c>
      <c r="BW45" s="201">
        <v>0</v>
      </c>
      <c r="BX45" s="201">
        <v>0</v>
      </c>
      <c r="BY45" s="201">
        <v>0</v>
      </c>
      <c r="BZ45" s="201">
        <v>0</v>
      </c>
      <c r="CA45" s="201">
        <v>0</v>
      </c>
      <c r="CB45" s="201">
        <v>0</v>
      </c>
      <c r="CC45" s="201">
        <v>0</v>
      </c>
      <c r="CD45" s="201">
        <v>0</v>
      </c>
      <c r="CE45" s="201">
        <v>0</v>
      </c>
      <c r="CF45" s="201">
        <v>0</v>
      </c>
      <c r="CG45" s="201">
        <v>0</v>
      </c>
      <c r="CH45" s="201">
        <v>0</v>
      </c>
      <c r="CI45" s="201">
        <v>0</v>
      </c>
      <c r="CJ45" s="201">
        <v>0</v>
      </c>
      <c r="CK45" s="201">
        <v>0</v>
      </c>
      <c r="CL45" s="201">
        <v>0</v>
      </c>
      <c r="CM45" s="201">
        <v>0</v>
      </c>
      <c r="CN45" s="201">
        <v>0</v>
      </c>
      <c r="CO45" s="201">
        <v>0</v>
      </c>
      <c r="CP45" s="201">
        <v>0</v>
      </c>
      <c r="CQ45" s="201">
        <v>0</v>
      </c>
      <c r="CR45" s="201">
        <v>0</v>
      </c>
      <c r="CS45" s="201">
        <v>0</v>
      </c>
      <c r="CT45" s="201">
        <v>0</v>
      </c>
      <c r="CU45" s="193"/>
      <c r="CV45" s="130"/>
      <c r="CW45" s="130"/>
      <c r="CX45" s="130"/>
      <c r="CY45" s="130"/>
      <c r="CZ45" s="130"/>
      <c r="DA45" s="130"/>
      <c r="DB45" s="130"/>
    </row>
    <row r="46" spans="1:106" ht="12.5">
      <c r="A46" s="52"/>
      <c r="B46" s="52"/>
      <c r="C46" s="52"/>
      <c r="D46" s="52"/>
      <c r="E46" s="52"/>
      <c r="F46" s="52"/>
      <c r="G46" s="199">
        <f>G41/12*8</f>
        <v>113333.33333333333</v>
      </c>
      <c r="H46" s="52"/>
      <c r="I46" s="52"/>
      <c r="J46" s="200" t="s">
        <v>185</v>
      </c>
      <c r="K46" s="195"/>
      <c r="L46" s="196"/>
      <c r="M46" s="197"/>
      <c r="N46" s="197">
        <f t="shared" ref="N46:Y46" si="18">SUM(N5:N11)</f>
        <v>195</v>
      </c>
      <c r="O46" s="197">
        <f t="shared" si="18"/>
        <v>195</v>
      </c>
      <c r="P46" s="197">
        <f t="shared" si="18"/>
        <v>195</v>
      </c>
      <c r="Q46" s="197">
        <f t="shared" si="18"/>
        <v>1233.0833333333333</v>
      </c>
      <c r="R46" s="197">
        <f t="shared" si="18"/>
        <v>5442.4166666666661</v>
      </c>
      <c r="S46" s="197">
        <f t="shared" si="18"/>
        <v>8372.8333333333321</v>
      </c>
      <c r="T46" s="197">
        <f t="shared" si="18"/>
        <v>52192.833333333336</v>
      </c>
      <c r="U46" s="197">
        <f t="shared" si="18"/>
        <v>9445.3333333333321</v>
      </c>
      <c r="V46" s="197">
        <f t="shared" si="18"/>
        <v>9445.3333333333321</v>
      </c>
      <c r="W46" s="197">
        <f t="shared" si="18"/>
        <v>9445.3333333333321</v>
      </c>
      <c r="X46" s="197">
        <f t="shared" si="18"/>
        <v>10641.999999999998</v>
      </c>
      <c r="Y46" s="197">
        <f t="shared" si="18"/>
        <v>10641.999999999998</v>
      </c>
      <c r="Z46" s="197">
        <f t="shared" ref="Z46:AK46" si="19">SUM(Z12:Z31)</f>
        <v>0</v>
      </c>
      <c r="AA46" s="197">
        <f t="shared" si="19"/>
        <v>0</v>
      </c>
      <c r="AB46" s="197">
        <f t="shared" si="19"/>
        <v>0</v>
      </c>
      <c r="AC46" s="197">
        <f t="shared" si="19"/>
        <v>0</v>
      </c>
      <c r="AD46" s="197">
        <f t="shared" si="19"/>
        <v>0</v>
      </c>
      <c r="AE46" s="197">
        <f t="shared" si="19"/>
        <v>4889.1333333333332</v>
      </c>
      <c r="AF46" s="197">
        <f t="shared" si="19"/>
        <v>5235.6333333333332</v>
      </c>
      <c r="AG46" s="197">
        <f t="shared" si="19"/>
        <v>5606.8833333333332</v>
      </c>
      <c r="AH46" s="197">
        <f t="shared" si="19"/>
        <v>6629.458333333333</v>
      </c>
      <c r="AI46" s="197">
        <f t="shared" si="19"/>
        <v>6629.458333333333</v>
      </c>
      <c r="AJ46" s="197">
        <f t="shared" si="19"/>
        <v>8515.4583333333321</v>
      </c>
      <c r="AK46" s="197">
        <f t="shared" si="19"/>
        <v>12479.258333333331</v>
      </c>
      <c r="AL46" s="197">
        <f t="shared" ref="AL46:AX46" si="20">SUM(AL32:AL35)</f>
        <v>0</v>
      </c>
      <c r="AM46" s="197">
        <f t="shared" si="20"/>
        <v>0</v>
      </c>
      <c r="AN46" s="197">
        <f t="shared" si="20"/>
        <v>0</v>
      </c>
      <c r="AO46" s="197">
        <f t="shared" si="20"/>
        <v>3333</v>
      </c>
      <c r="AP46" s="197">
        <f t="shared" si="20"/>
        <v>3333</v>
      </c>
      <c r="AQ46" s="197">
        <f t="shared" si="20"/>
        <v>3333</v>
      </c>
      <c r="AR46" s="197">
        <f t="shared" si="20"/>
        <v>13333</v>
      </c>
      <c r="AS46" s="197">
        <f t="shared" si="20"/>
        <v>13333</v>
      </c>
      <c r="AT46" s="197">
        <f t="shared" si="20"/>
        <v>23333</v>
      </c>
      <c r="AU46" s="197">
        <f t="shared" si="20"/>
        <v>23333</v>
      </c>
      <c r="AV46" s="197">
        <f t="shared" si="20"/>
        <v>23333</v>
      </c>
      <c r="AW46" s="197">
        <f t="shared" si="20"/>
        <v>33333</v>
      </c>
      <c r="AX46" s="197">
        <f t="shared" si="20"/>
        <v>33333</v>
      </c>
      <c r="AY46" s="197">
        <f t="shared" ref="AY46:BJ46" si="21">SUMIF($C36:$C39,"&lt;&gt;영구",AY36:AY39)</f>
        <v>0</v>
      </c>
      <c r="AZ46" s="197">
        <f t="shared" si="21"/>
        <v>4167</v>
      </c>
      <c r="BA46" s="197">
        <f t="shared" si="21"/>
        <v>4167</v>
      </c>
      <c r="BB46" s="197">
        <f t="shared" si="21"/>
        <v>4167</v>
      </c>
      <c r="BC46" s="197">
        <f t="shared" si="21"/>
        <v>16667</v>
      </c>
      <c r="BD46" s="197">
        <f t="shared" si="21"/>
        <v>16667</v>
      </c>
      <c r="BE46" s="197">
        <f t="shared" si="21"/>
        <v>16667</v>
      </c>
      <c r="BF46" s="197">
        <f t="shared" si="21"/>
        <v>16667</v>
      </c>
      <c r="BG46" s="197">
        <f t="shared" si="21"/>
        <v>29167</v>
      </c>
      <c r="BH46" s="197">
        <f t="shared" si="21"/>
        <v>29167</v>
      </c>
      <c r="BI46" s="197">
        <f t="shared" si="21"/>
        <v>29167</v>
      </c>
      <c r="BJ46" s="197">
        <f t="shared" si="21"/>
        <v>41667</v>
      </c>
      <c r="BK46" s="197">
        <f t="shared" ref="BK46:CT46" si="22">SUMIF($C40,"&lt;&gt;영구",BK40)</f>
        <v>0</v>
      </c>
      <c r="BL46" s="197">
        <f t="shared" si="22"/>
        <v>0</v>
      </c>
      <c r="BM46" s="197">
        <f t="shared" si="22"/>
        <v>0</v>
      </c>
      <c r="BN46" s="197">
        <f t="shared" si="22"/>
        <v>0</v>
      </c>
      <c r="BO46" s="197">
        <f t="shared" si="22"/>
        <v>0</v>
      </c>
      <c r="BP46" s="197">
        <f t="shared" si="22"/>
        <v>0</v>
      </c>
      <c r="BQ46" s="197">
        <f t="shared" si="22"/>
        <v>0</v>
      </c>
      <c r="BR46" s="197">
        <f t="shared" si="22"/>
        <v>0</v>
      </c>
      <c r="BS46" s="197">
        <f t="shared" si="22"/>
        <v>0</v>
      </c>
      <c r="BT46" s="197">
        <f t="shared" si="22"/>
        <v>0</v>
      </c>
      <c r="BU46" s="197">
        <f t="shared" si="22"/>
        <v>0</v>
      </c>
      <c r="BV46" s="197">
        <f t="shared" si="22"/>
        <v>0</v>
      </c>
      <c r="BW46" s="197">
        <f t="shared" si="22"/>
        <v>0</v>
      </c>
      <c r="BX46" s="197">
        <f t="shared" si="22"/>
        <v>0</v>
      </c>
      <c r="BY46" s="197">
        <f t="shared" si="22"/>
        <v>0</v>
      </c>
      <c r="BZ46" s="197">
        <f t="shared" si="22"/>
        <v>0</v>
      </c>
      <c r="CA46" s="197">
        <f t="shared" si="22"/>
        <v>0</v>
      </c>
      <c r="CB46" s="197">
        <f t="shared" si="22"/>
        <v>0</v>
      </c>
      <c r="CC46" s="197">
        <f t="shared" si="22"/>
        <v>0</v>
      </c>
      <c r="CD46" s="197">
        <f t="shared" si="22"/>
        <v>0</v>
      </c>
      <c r="CE46" s="197">
        <f t="shared" si="22"/>
        <v>0</v>
      </c>
      <c r="CF46" s="197">
        <f t="shared" si="22"/>
        <v>0</v>
      </c>
      <c r="CG46" s="197">
        <f t="shared" si="22"/>
        <v>0</v>
      </c>
      <c r="CH46" s="197">
        <f t="shared" si="22"/>
        <v>0</v>
      </c>
      <c r="CI46" s="197">
        <f t="shared" si="22"/>
        <v>0</v>
      </c>
      <c r="CJ46" s="197">
        <f t="shared" si="22"/>
        <v>0</v>
      </c>
      <c r="CK46" s="197">
        <f t="shared" si="22"/>
        <v>0</v>
      </c>
      <c r="CL46" s="197">
        <f t="shared" si="22"/>
        <v>0</v>
      </c>
      <c r="CM46" s="197">
        <f t="shared" si="22"/>
        <v>0</v>
      </c>
      <c r="CN46" s="197">
        <f t="shared" si="22"/>
        <v>0</v>
      </c>
      <c r="CO46" s="197">
        <f t="shared" si="22"/>
        <v>0</v>
      </c>
      <c r="CP46" s="197">
        <f t="shared" si="22"/>
        <v>0</v>
      </c>
      <c r="CQ46" s="197">
        <f t="shared" si="22"/>
        <v>0</v>
      </c>
      <c r="CR46" s="197">
        <f t="shared" si="22"/>
        <v>0</v>
      </c>
      <c r="CS46" s="197">
        <f t="shared" si="22"/>
        <v>0</v>
      </c>
      <c r="CT46" s="197">
        <f t="shared" si="22"/>
        <v>0</v>
      </c>
      <c r="CU46" s="58"/>
      <c r="CV46" s="52"/>
      <c r="CW46" s="52"/>
      <c r="CX46" s="52"/>
      <c r="CY46" s="52"/>
      <c r="CZ46" s="52"/>
      <c r="DA46" s="52"/>
      <c r="DB46" s="52"/>
    </row>
    <row r="47" spans="1:106" ht="12.5">
      <c r="A47" s="52"/>
      <c r="B47" s="52"/>
      <c r="C47" s="52"/>
      <c r="D47" s="52"/>
      <c r="E47" s="52"/>
      <c r="F47" s="52"/>
      <c r="G47" s="199">
        <f>G42/12*4</f>
        <v>60000</v>
      </c>
      <c r="H47" s="52"/>
      <c r="I47" s="52"/>
      <c r="J47" s="200" t="s">
        <v>186</v>
      </c>
      <c r="K47" s="272">
        <f>K45+K46+L45+L46+M45+M46</f>
        <v>0</v>
      </c>
      <c r="L47" s="273"/>
      <c r="M47" s="274"/>
      <c r="N47" s="272">
        <f>SUM(N46:Y46)+SUM(N45:Y45)</f>
        <v>161266.16666666666</v>
      </c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4"/>
      <c r="Z47" s="272">
        <f>SUM(Z46:AK46)+SUM(Z45:AK45)</f>
        <v>49985.283333333326</v>
      </c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4"/>
      <c r="AL47" s="272">
        <f>SUM(AL46:AX46)+SUM(AL45:AX45)</f>
        <v>173330</v>
      </c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4"/>
      <c r="AY47" s="272">
        <f>SUM(AY46:BJ46)+SUM(AY45:BJ45)</f>
        <v>208337</v>
      </c>
      <c r="AZ47" s="273"/>
      <c r="BA47" s="273"/>
      <c r="BB47" s="273"/>
      <c r="BC47" s="273"/>
      <c r="BD47" s="273"/>
      <c r="BE47" s="273"/>
      <c r="BF47" s="273"/>
      <c r="BG47" s="273"/>
      <c r="BH47" s="273"/>
      <c r="BI47" s="273"/>
      <c r="BJ47" s="274"/>
      <c r="BK47" s="272">
        <f>SUM(BK46:BV46)+SUM(BK45:BV45)</f>
        <v>0</v>
      </c>
      <c r="BL47" s="273"/>
      <c r="BM47" s="273"/>
      <c r="BN47" s="273"/>
      <c r="BO47" s="273"/>
      <c r="BP47" s="273"/>
      <c r="BQ47" s="273"/>
      <c r="BR47" s="273"/>
      <c r="BS47" s="273"/>
      <c r="BT47" s="273"/>
      <c r="BU47" s="273"/>
      <c r="BV47" s="274"/>
      <c r="BW47" s="272">
        <f>SUM(BW46:CH46)+SUM(BW45:CH45)</f>
        <v>0</v>
      </c>
      <c r="BX47" s="273"/>
      <c r="BY47" s="273"/>
      <c r="BZ47" s="273"/>
      <c r="CA47" s="273"/>
      <c r="CB47" s="273"/>
      <c r="CC47" s="273"/>
      <c r="CD47" s="273"/>
      <c r="CE47" s="273"/>
      <c r="CF47" s="273"/>
      <c r="CG47" s="273"/>
      <c r="CH47" s="274"/>
      <c r="CI47" s="272">
        <f>SUM(CI46:CT46)+SUM(CI45:CT45)</f>
        <v>0</v>
      </c>
      <c r="CJ47" s="273"/>
      <c r="CK47" s="273"/>
      <c r="CL47" s="273"/>
      <c r="CM47" s="273"/>
      <c r="CN47" s="273"/>
      <c r="CO47" s="273"/>
      <c r="CP47" s="273"/>
      <c r="CQ47" s="273"/>
      <c r="CR47" s="273"/>
      <c r="CS47" s="273"/>
      <c r="CT47" s="274"/>
      <c r="CU47" s="58"/>
      <c r="CV47" s="52"/>
      <c r="CW47" s="52"/>
      <c r="CX47" s="52"/>
      <c r="CY47" s="52"/>
      <c r="CZ47" s="52"/>
      <c r="DA47" s="52"/>
      <c r="DB47" s="52"/>
    </row>
    <row r="48" spans="1:106" ht="12.5">
      <c r="A48" s="203"/>
      <c r="B48" s="203"/>
      <c r="C48" s="203"/>
      <c r="D48" s="203"/>
      <c r="E48" s="203"/>
      <c r="F48" s="203"/>
      <c r="G48" s="204">
        <f>G43/12</f>
        <v>15000</v>
      </c>
      <c r="H48" s="203"/>
      <c r="I48" s="203"/>
      <c r="J48" s="205" t="s">
        <v>187</v>
      </c>
      <c r="K48" s="275">
        <f>K44+K47</f>
        <v>2550</v>
      </c>
      <c r="L48" s="270"/>
      <c r="M48" s="271"/>
      <c r="N48" s="275">
        <f>N47+N44</f>
        <v>163816.16666666666</v>
      </c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1"/>
      <c r="Z48" s="275">
        <f>Z47+Z44</f>
        <v>141674.61666666667</v>
      </c>
      <c r="AA48" s="270"/>
      <c r="AB48" s="270"/>
      <c r="AC48" s="270"/>
      <c r="AD48" s="270"/>
      <c r="AE48" s="270"/>
      <c r="AF48" s="270"/>
      <c r="AG48" s="270"/>
      <c r="AH48" s="270"/>
      <c r="AI48" s="270"/>
      <c r="AJ48" s="270"/>
      <c r="AK48" s="271"/>
      <c r="AL48" s="275">
        <f>AL47+AL44</f>
        <v>476306.94999999995</v>
      </c>
      <c r="AM48" s="270"/>
      <c r="AN48" s="270"/>
      <c r="AO48" s="270"/>
      <c r="AP48" s="270"/>
      <c r="AQ48" s="270"/>
      <c r="AR48" s="270"/>
      <c r="AS48" s="270"/>
      <c r="AT48" s="270"/>
      <c r="AU48" s="270"/>
      <c r="AV48" s="270"/>
      <c r="AW48" s="270"/>
      <c r="AX48" s="271"/>
      <c r="AY48" s="275">
        <f>AY47+AY44</f>
        <v>913930.94</v>
      </c>
      <c r="AZ48" s="270"/>
      <c r="BA48" s="270"/>
      <c r="BB48" s="270"/>
      <c r="BC48" s="270"/>
      <c r="BD48" s="270"/>
      <c r="BE48" s="270"/>
      <c r="BF48" s="270"/>
      <c r="BG48" s="270"/>
      <c r="BH48" s="270"/>
      <c r="BI48" s="270"/>
      <c r="BJ48" s="271"/>
      <c r="BK48" s="275">
        <f>BK47+BK44</f>
        <v>1198574.7433333334</v>
      </c>
      <c r="BL48" s="270"/>
      <c r="BM48" s="270"/>
      <c r="BN48" s="270"/>
      <c r="BO48" s="270"/>
      <c r="BP48" s="270"/>
      <c r="BQ48" s="270"/>
      <c r="BR48" s="270"/>
      <c r="BS48" s="270"/>
      <c r="BT48" s="270"/>
      <c r="BU48" s="270"/>
      <c r="BV48" s="271"/>
      <c r="BW48" s="275">
        <f>BW47+BW44</f>
        <v>1003331.6799999998</v>
      </c>
      <c r="BX48" s="270"/>
      <c r="BY48" s="270"/>
      <c r="BZ48" s="270"/>
      <c r="CA48" s="270"/>
      <c r="CB48" s="270"/>
      <c r="CC48" s="270"/>
      <c r="CD48" s="270"/>
      <c r="CE48" s="270"/>
      <c r="CF48" s="270"/>
      <c r="CG48" s="270"/>
      <c r="CH48" s="271"/>
      <c r="CI48" s="275">
        <f>CI47+CI44</f>
        <v>453632.69666666654</v>
      </c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1"/>
      <c r="CU48" s="206"/>
      <c r="CV48" s="203"/>
      <c r="CW48" s="203"/>
      <c r="CX48" s="203"/>
      <c r="CY48" s="203"/>
      <c r="CZ48" s="203"/>
      <c r="DA48" s="203"/>
      <c r="DB48" s="203"/>
    </row>
    <row r="49" spans="1:106" ht="12.5" hidden="1">
      <c r="A49" s="52"/>
      <c r="B49" s="52"/>
      <c r="C49" s="52"/>
      <c r="D49" s="52"/>
      <c r="E49" s="52"/>
      <c r="F49" s="52"/>
      <c r="G49" s="52"/>
      <c r="H49" s="52"/>
      <c r="I49" s="52"/>
      <c r="J49" s="278" t="s">
        <v>188</v>
      </c>
      <c r="K49" s="266">
        <f>SUM(H4:H5)</f>
        <v>7440</v>
      </c>
      <c r="L49" s="267"/>
      <c r="M49" s="268"/>
      <c r="N49" s="266">
        <f>SUM(H6:H11)</f>
        <v>317811</v>
      </c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8"/>
      <c r="Z49" s="266">
        <f>SUM(H12:H20)</f>
        <v>298397.5</v>
      </c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8"/>
      <c r="AL49" s="266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8"/>
      <c r="AY49" s="266"/>
      <c r="AZ49" s="267"/>
      <c r="BA49" s="267"/>
      <c r="BB49" s="267"/>
      <c r="BC49" s="267"/>
      <c r="BD49" s="267"/>
      <c r="BE49" s="267"/>
      <c r="BF49" s="267"/>
      <c r="BG49" s="267"/>
      <c r="BH49" s="267"/>
      <c r="BI49" s="267"/>
      <c r="BJ49" s="268"/>
      <c r="BK49" s="266"/>
      <c r="BL49" s="267"/>
      <c r="BM49" s="267"/>
      <c r="BN49" s="267"/>
      <c r="BO49" s="267"/>
      <c r="BP49" s="267"/>
      <c r="BQ49" s="267"/>
      <c r="BR49" s="267"/>
      <c r="BS49" s="267"/>
      <c r="BT49" s="267"/>
      <c r="BU49" s="267"/>
      <c r="BV49" s="268"/>
      <c r="BW49" s="266"/>
      <c r="BX49" s="267"/>
      <c r="BY49" s="267"/>
      <c r="BZ49" s="267"/>
      <c r="CA49" s="267"/>
      <c r="CB49" s="267"/>
      <c r="CC49" s="267"/>
      <c r="CD49" s="267"/>
      <c r="CE49" s="267"/>
      <c r="CF49" s="267"/>
      <c r="CG49" s="267"/>
      <c r="CH49" s="268"/>
      <c r="CI49" s="266"/>
      <c r="CJ49" s="267"/>
      <c r="CK49" s="267"/>
      <c r="CL49" s="267"/>
      <c r="CM49" s="267"/>
      <c r="CN49" s="267"/>
      <c r="CO49" s="267"/>
      <c r="CP49" s="267"/>
      <c r="CQ49" s="267"/>
      <c r="CR49" s="267"/>
      <c r="CS49" s="267"/>
      <c r="CT49" s="268"/>
      <c r="CU49" s="58"/>
      <c r="CV49" s="52"/>
      <c r="CW49" s="52"/>
      <c r="CX49" s="52"/>
      <c r="CY49" s="52"/>
      <c r="CZ49" s="52"/>
      <c r="DA49" s="52"/>
      <c r="DB49" s="52"/>
    </row>
    <row r="50" spans="1:106" ht="12.5" hidden="1">
      <c r="A50" s="52"/>
      <c r="B50" s="52"/>
      <c r="C50" s="52"/>
      <c r="D50" s="52"/>
      <c r="E50" s="52"/>
      <c r="F50" s="52"/>
      <c r="G50" s="52"/>
      <c r="H50" s="52"/>
      <c r="I50" s="52"/>
      <c r="J50" s="279"/>
      <c r="K50" s="280">
        <f>K49*$G$1</f>
        <v>10423142.4</v>
      </c>
      <c r="L50" s="270"/>
      <c r="M50" s="271"/>
      <c r="N50" s="269">
        <f>N49*$G$1</f>
        <v>445240498.56</v>
      </c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1"/>
      <c r="Z50" s="269">
        <f>Z49*$G$1</f>
        <v>418042961.60000002</v>
      </c>
      <c r="AA50" s="270"/>
      <c r="AB50" s="270"/>
      <c r="AC50" s="270"/>
      <c r="AD50" s="270"/>
      <c r="AE50" s="270"/>
      <c r="AF50" s="270"/>
      <c r="AG50" s="270"/>
      <c r="AH50" s="270"/>
      <c r="AI50" s="270"/>
      <c r="AJ50" s="270"/>
      <c r="AK50" s="271"/>
      <c r="AL50" s="269">
        <f>AL49*$G$1</f>
        <v>0</v>
      </c>
      <c r="AM50" s="270"/>
      <c r="AN50" s="270"/>
      <c r="AO50" s="270"/>
      <c r="AP50" s="270"/>
      <c r="AQ50" s="270"/>
      <c r="AR50" s="270"/>
      <c r="AS50" s="270"/>
      <c r="AT50" s="270"/>
      <c r="AU50" s="270"/>
      <c r="AV50" s="270"/>
      <c r="AW50" s="270"/>
      <c r="AX50" s="271"/>
      <c r="AY50" s="269"/>
      <c r="AZ50" s="270"/>
      <c r="BA50" s="270"/>
      <c r="BB50" s="270"/>
      <c r="BC50" s="270"/>
      <c r="BD50" s="270"/>
      <c r="BE50" s="270"/>
      <c r="BF50" s="270"/>
      <c r="BG50" s="270"/>
      <c r="BH50" s="270"/>
      <c r="BI50" s="270"/>
      <c r="BJ50" s="271"/>
      <c r="BK50" s="269"/>
      <c r="BL50" s="270"/>
      <c r="BM50" s="270"/>
      <c r="BN50" s="270"/>
      <c r="BO50" s="270"/>
      <c r="BP50" s="270"/>
      <c r="BQ50" s="270"/>
      <c r="BR50" s="270"/>
      <c r="BS50" s="270"/>
      <c r="BT50" s="270"/>
      <c r="BU50" s="270"/>
      <c r="BV50" s="271"/>
      <c r="BW50" s="269"/>
      <c r="BX50" s="270"/>
      <c r="BY50" s="270"/>
      <c r="BZ50" s="270"/>
      <c r="CA50" s="270"/>
      <c r="CB50" s="270"/>
      <c r="CC50" s="270"/>
      <c r="CD50" s="270"/>
      <c r="CE50" s="270"/>
      <c r="CF50" s="270"/>
      <c r="CG50" s="270"/>
      <c r="CH50" s="271"/>
      <c r="CI50" s="269"/>
      <c r="CJ50" s="270"/>
      <c r="CK50" s="270"/>
      <c r="CL50" s="270"/>
      <c r="CM50" s="270"/>
      <c r="CN50" s="270"/>
      <c r="CO50" s="270"/>
      <c r="CP50" s="270"/>
      <c r="CQ50" s="270"/>
      <c r="CR50" s="270"/>
      <c r="CS50" s="270"/>
      <c r="CT50" s="271"/>
      <c r="CU50" s="58"/>
      <c r="CV50" s="52"/>
      <c r="CW50" s="52"/>
      <c r="CX50" s="52"/>
      <c r="CY50" s="52"/>
      <c r="CZ50" s="52"/>
      <c r="DA50" s="52"/>
      <c r="DB50" s="52"/>
    </row>
    <row r="51" spans="1:106" ht="12.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207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208">
        <f t="shared" ref="AK51:AL51" si="23">AK43+AK46</f>
        <v>18716.924999999999</v>
      </c>
      <c r="AL51" s="208">
        <f t="shared" si="23"/>
        <v>23561.885000000002</v>
      </c>
      <c r="AM51" s="209">
        <f>AM6+AM7+AM11+AM12+AM16+AM17+AM19+AM20+AM21+AM23+AM24+AM25+AM26</f>
        <v>19855389</v>
      </c>
      <c r="AN51" s="208">
        <f>AN43+AN46</f>
        <v>24750.114999999998</v>
      </c>
      <c r="AO51" s="52"/>
      <c r="AP51" s="52"/>
      <c r="AQ51" s="52"/>
      <c r="AR51" s="52"/>
      <c r="AS51" s="52"/>
      <c r="AT51" s="52"/>
      <c r="AU51" s="52"/>
      <c r="AV51" s="52"/>
      <c r="AW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8"/>
      <c r="CV51" s="52"/>
      <c r="CW51" s="52"/>
      <c r="CX51" s="52"/>
      <c r="CY51" s="52"/>
      <c r="CZ51" s="52"/>
      <c r="DA51" s="52"/>
      <c r="DB51" s="52"/>
    </row>
    <row r="52" spans="1:106" ht="12.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276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7"/>
      <c r="AX52" s="267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8"/>
      <c r="CV52" s="52"/>
      <c r="CW52" s="52"/>
      <c r="CX52" s="52"/>
      <c r="CY52" s="52"/>
      <c r="CZ52" s="52"/>
      <c r="DA52" s="52"/>
      <c r="DB52" s="52"/>
    </row>
    <row r="53" spans="1:106" ht="12.5">
      <c r="A53" s="52"/>
      <c r="B53" s="52"/>
      <c r="C53" s="52"/>
      <c r="D53" s="52"/>
      <c r="E53" s="52"/>
      <c r="F53" s="52"/>
      <c r="G53" s="210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276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8"/>
      <c r="CV53" s="52"/>
      <c r="CW53" s="52"/>
      <c r="CX53" s="52"/>
      <c r="CY53" s="52"/>
      <c r="CZ53" s="52"/>
      <c r="DA53" s="52"/>
      <c r="DB53" s="52"/>
    </row>
    <row r="54" spans="1:106" ht="12.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276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8"/>
      <c r="CV54" s="52"/>
      <c r="CW54" s="52"/>
      <c r="CX54" s="52"/>
      <c r="CY54" s="52"/>
      <c r="CZ54" s="52"/>
      <c r="DA54" s="52"/>
      <c r="DB54" s="52"/>
    </row>
    <row r="55" spans="1:106" ht="12.5">
      <c r="A55" s="52"/>
      <c r="B55" s="52"/>
      <c r="C55" s="52"/>
      <c r="D55" s="52"/>
      <c r="E55" s="52"/>
      <c r="F55" s="52"/>
      <c r="G55" s="211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276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8"/>
      <c r="CV55" s="52"/>
      <c r="CW55" s="52"/>
      <c r="CX55" s="52"/>
      <c r="CY55" s="52"/>
      <c r="CZ55" s="52"/>
      <c r="DA55" s="52"/>
      <c r="DB55" s="52"/>
    </row>
    <row r="56" spans="1:106" ht="12.5">
      <c r="A56" s="52"/>
      <c r="B56" s="52"/>
      <c r="C56" s="52"/>
      <c r="D56" s="52"/>
      <c r="E56" s="52"/>
      <c r="F56" s="52"/>
      <c r="G56" s="211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276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8"/>
      <c r="CV56" s="52"/>
      <c r="CW56" s="52"/>
      <c r="CX56" s="52"/>
      <c r="CY56" s="52"/>
      <c r="CZ56" s="52"/>
      <c r="DA56" s="52"/>
      <c r="DB56" s="52"/>
    </row>
    <row r="57" spans="1:106" ht="12.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 t="s">
        <v>189</v>
      </c>
      <c r="AM57" s="52"/>
      <c r="AN57" s="52"/>
      <c r="AO57" s="52"/>
      <c r="AP57" s="52"/>
      <c r="AQ57" s="52">
        <v>45328</v>
      </c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8"/>
      <c r="CV57" s="52"/>
      <c r="CW57" s="52"/>
      <c r="CX57" s="52"/>
      <c r="CY57" s="52"/>
      <c r="CZ57" s="52"/>
      <c r="DA57" s="52"/>
      <c r="DB57" s="52"/>
    </row>
    <row r="58" spans="1:106" ht="12.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207"/>
      <c r="AL58" s="52" t="s">
        <v>190</v>
      </c>
      <c r="AM58" s="52"/>
      <c r="AN58" s="52"/>
      <c r="AO58" s="52"/>
      <c r="AP58" s="52"/>
      <c r="AQ58" s="52">
        <v>234963</v>
      </c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8"/>
      <c r="CV58" s="52"/>
      <c r="CW58" s="52"/>
      <c r="CX58" s="52"/>
      <c r="CY58" s="52"/>
      <c r="CZ58" s="52"/>
      <c r="DA58" s="52"/>
      <c r="DB58" s="52"/>
    </row>
    <row r="59" spans="1:106" ht="12.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>
        <v>44414</v>
      </c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8"/>
      <c r="CV59" s="52"/>
      <c r="CW59" s="52"/>
      <c r="CX59" s="52"/>
      <c r="CY59" s="52"/>
      <c r="CZ59" s="52"/>
      <c r="DA59" s="52"/>
      <c r="DB59" s="52"/>
    </row>
    <row r="60" spans="1:106" ht="12.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276"/>
      <c r="AM60" s="267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8"/>
      <c r="CV60" s="52"/>
      <c r="CW60" s="52"/>
      <c r="CX60" s="52"/>
      <c r="CY60" s="52"/>
      <c r="CZ60" s="52"/>
      <c r="DA60" s="52"/>
      <c r="DB60" s="52"/>
    </row>
    <row r="61" spans="1:106" ht="12.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276"/>
      <c r="AM61" s="267"/>
      <c r="AN61" s="267"/>
      <c r="AO61" s="267"/>
      <c r="AP61" s="267"/>
      <c r="AQ61" s="267"/>
      <c r="AR61" s="267"/>
      <c r="AS61" s="267"/>
      <c r="AT61" s="267"/>
      <c r="AU61" s="267"/>
      <c r="AV61" s="267"/>
      <c r="AW61" s="267"/>
      <c r="AX61" s="267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8"/>
      <c r="CV61" s="52"/>
      <c r="CW61" s="52"/>
      <c r="CX61" s="52"/>
      <c r="CY61" s="52"/>
      <c r="CZ61" s="52"/>
      <c r="DA61" s="52"/>
      <c r="DB61" s="52"/>
    </row>
    <row r="62" spans="1:106" ht="12.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276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8"/>
      <c r="CV62" s="52"/>
      <c r="CW62" s="52"/>
      <c r="CX62" s="52"/>
      <c r="CY62" s="52"/>
      <c r="CZ62" s="52"/>
      <c r="DA62" s="52"/>
      <c r="DB62" s="52"/>
    </row>
    <row r="63" spans="1:106" ht="12.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207"/>
      <c r="AL63" s="276"/>
      <c r="AM63" s="267"/>
      <c r="AN63" s="267"/>
      <c r="AO63" s="267"/>
      <c r="AP63" s="267"/>
      <c r="AQ63" s="267"/>
      <c r="AR63" s="267"/>
      <c r="AS63" s="267"/>
      <c r="AT63" s="267"/>
      <c r="AU63" s="267"/>
      <c r="AV63" s="267"/>
      <c r="AW63" s="267"/>
      <c r="AX63" s="267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8"/>
      <c r="CV63" s="52"/>
      <c r="CW63" s="52"/>
      <c r="CX63" s="52"/>
      <c r="CY63" s="52"/>
      <c r="CZ63" s="52"/>
      <c r="DA63" s="52"/>
      <c r="DB63" s="52"/>
    </row>
    <row r="64" spans="1:106" ht="12.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207"/>
      <c r="AL64" s="277"/>
      <c r="AM64" s="267"/>
      <c r="AN64" s="267"/>
      <c r="AO64" s="267"/>
      <c r="AP64" s="267"/>
      <c r="AQ64" s="267"/>
      <c r="AR64" s="267"/>
      <c r="AS64" s="267"/>
      <c r="AT64" s="267"/>
      <c r="AU64" s="267"/>
      <c r="AV64" s="267"/>
      <c r="AW64" s="267"/>
      <c r="AX64" s="267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8"/>
      <c r="CV64" s="52"/>
      <c r="CW64" s="52"/>
      <c r="CX64" s="52"/>
      <c r="CY64" s="52"/>
      <c r="CZ64" s="52"/>
      <c r="DA64" s="52"/>
      <c r="DB64" s="52"/>
    </row>
    <row r="65" spans="1:106" ht="12.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211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8"/>
      <c r="CV65" s="52"/>
      <c r="CW65" s="52"/>
      <c r="CX65" s="52"/>
      <c r="CY65" s="52"/>
      <c r="CZ65" s="52"/>
      <c r="DA65" s="52"/>
      <c r="DB65" s="52"/>
    </row>
    <row r="66" spans="1:106" ht="12.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211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8"/>
      <c r="CV66" s="52"/>
      <c r="CW66" s="52"/>
      <c r="CX66" s="52"/>
      <c r="CY66" s="52"/>
      <c r="CZ66" s="52"/>
      <c r="DA66" s="52"/>
      <c r="DB66" s="52"/>
    </row>
    <row r="67" spans="1:106" ht="12.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211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8"/>
      <c r="CV67" s="52"/>
      <c r="CW67" s="52"/>
      <c r="CX67" s="52"/>
      <c r="CY67" s="52"/>
      <c r="CZ67" s="52"/>
      <c r="DA67" s="52"/>
      <c r="DB67" s="52"/>
    </row>
    <row r="68" spans="1:106" ht="12.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211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8"/>
      <c r="CV68" s="52"/>
      <c r="CW68" s="52"/>
      <c r="CX68" s="52"/>
      <c r="CY68" s="52"/>
      <c r="CZ68" s="52"/>
      <c r="DA68" s="52"/>
      <c r="DB68" s="52"/>
    </row>
    <row r="69" spans="1:106" ht="12.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211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8"/>
      <c r="CV69" s="52"/>
      <c r="CW69" s="52"/>
      <c r="CX69" s="52"/>
      <c r="CY69" s="52"/>
      <c r="CZ69" s="52"/>
      <c r="DA69" s="52"/>
      <c r="DB69" s="52"/>
    </row>
    <row r="70" spans="1:106" ht="12.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211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8"/>
      <c r="CV70" s="52"/>
      <c r="CW70" s="52"/>
      <c r="CX70" s="52"/>
      <c r="CY70" s="52"/>
      <c r="CZ70" s="52"/>
      <c r="DA70" s="52"/>
      <c r="DB70" s="52"/>
    </row>
    <row r="71" spans="1:106" ht="12.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211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8"/>
      <c r="CV71" s="52"/>
      <c r="CW71" s="52"/>
      <c r="CX71" s="52"/>
      <c r="CY71" s="52"/>
      <c r="CZ71" s="52"/>
      <c r="DA71" s="52"/>
      <c r="DB71" s="52"/>
    </row>
    <row r="72" spans="1:106" ht="12.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211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8"/>
      <c r="CV72" s="52"/>
      <c r="CW72" s="52"/>
      <c r="CX72" s="52"/>
      <c r="CY72" s="52"/>
      <c r="CZ72" s="52"/>
      <c r="DA72" s="52"/>
      <c r="DB72" s="52"/>
    </row>
    <row r="73" spans="1:106" ht="12.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211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8"/>
      <c r="CV73" s="52"/>
      <c r="CW73" s="52"/>
      <c r="CX73" s="52"/>
      <c r="CY73" s="52"/>
      <c r="CZ73" s="52"/>
      <c r="DA73" s="52"/>
      <c r="DB73" s="52"/>
    </row>
    <row r="74" spans="1:106" ht="12.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211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8"/>
      <c r="CV74" s="52"/>
      <c r="CW74" s="52"/>
      <c r="CX74" s="52"/>
      <c r="CY74" s="52"/>
      <c r="CZ74" s="52"/>
      <c r="DA74" s="52"/>
      <c r="DB74" s="52"/>
    </row>
    <row r="75" spans="1:106" ht="12.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211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8"/>
      <c r="CV75" s="52"/>
      <c r="CW75" s="52"/>
      <c r="CX75" s="52"/>
      <c r="CY75" s="52"/>
      <c r="CZ75" s="52"/>
      <c r="DA75" s="52"/>
      <c r="DB75" s="52"/>
    </row>
    <row r="76" spans="1:106" ht="12.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211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8"/>
      <c r="CV76" s="52"/>
      <c r="CW76" s="52"/>
      <c r="CX76" s="52"/>
      <c r="CY76" s="52"/>
      <c r="CZ76" s="52"/>
      <c r="DA76" s="52"/>
      <c r="DB76" s="52"/>
    </row>
    <row r="77" spans="1:106" ht="12.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211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8"/>
      <c r="CV77" s="52"/>
      <c r="CW77" s="52"/>
      <c r="CX77" s="52"/>
      <c r="CY77" s="52"/>
      <c r="CZ77" s="52"/>
      <c r="DA77" s="52"/>
      <c r="DB77" s="52"/>
    </row>
    <row r="78" spans="1:106" ht="12.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211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8"/>
      <c r="CV78" s="52"/>
      <c r="CW78" s="52"/>
      <c r="CX78" s="52"/>
      <c r="CY78" s="52"/>
      <c r="CZ78" s="52"/>
      <c r="DA78" s="52"/>
      <c r="DB78" s="52"/>
    </row>
    <row r="79" spans="1:106" ht="12.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211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8"/>
      <c r="CV79" s="52"/>
      <c r="CW79" s="52"/>
      <c r="CX79" s="52"/>
      <c r="CY79" s="52"/>
      <c r="CZ79" s="52"/>
      <c r="DA79" s="52"/>
      <c r="DB79" s="52"/>
    </row>
    <row r="80" spans="1:106" ht="12.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211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8"/>
      <c r="CV80" s="52"/>
      <c r="CW80" s="52"/>
      <c r="CX80" s="52"/>
      <c r="CY80" s="52"/>
      <c r="CZ80" s="52"/>
      <c r="DA80" s="52"/>
      <c r="DB80" s="52"/>
    </row>
    <row r="81" spans="1:106" ht="12.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211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8"/>
      <c r="CV81" s="52"/>
      <c r="CW81" s="52"/>
      <c r="CX81" s="52"/>
      <c r="CY81" s="52"/>
      <c r="CZ81" s="52"/>
      <c r="DA81" s="52"/>
      <c r="DB81" s="52"/>
    </row>
    <row r="82" spans="1:106" ht="12.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211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8"/>
      <c r="CV82" s="52"/>
      <c r="CW82" s="52"/>
      <c r="CX82" s="52"/>
      <c r="CY82" s="52"/>
      <c r="CZ82" s="52"/>
      <c r="DA82" s="52"/>
      <c r="DB82" s="52"/>
    </row>
    <row r="83" spans="1:106" ht="12.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211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8"/>
      <c r="CV83" s="52"/>
      <c r="CW83" s="52"/>
      <c r="CX83" s="52"/>
      <c r="CY83" s="52"/>
      <c r="CZ83" s="52"/>
      <c r="DA83" s="52"/>
      <c r="DB83" s="52"/>
    </row>
    <row r="84" spans="1:106" ht="12.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211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8"/>
      <c r="CV84" s="52"/>
      <c r="CW84" s="52"/>
      <c r="CX84" s="52"/>
      <c r="CY84" s="52"/>
      <c r="CZ84" s="52"/>
      <c r="DA84" s="52"/>
      <c r="DB84" s="52"/>
    </row>
    <row r="85" spans="1:106" ht="12.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211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8"/>
      <c r="CV85" s="52"/>
      <c r="CW85" s="52"/>
      <c r="CX85" s="52"/>
      <c r="CY85" s="52"/>
      <c r="CZ85" s="52"/>
      <c r="DA85" s="52"/>
      <c r="DB85" s="52"/>
    </row>
    <row r="86" spans="1:106" ht="12.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211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8"/>
      <c r="CV86" s="52"/>
      <c r="CW86" s="52"/>
      <c r="CX86" s="52"/>
      <c r="CY86" s="52"/>
      <c r="CZ86" s="52"/>
      <c r="DA86" s="52"/>
      <c r="DB86" s="52"/>
    </row>
    <row r="87" spans="1:106" ht="12.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211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8"/>
      <c r="CV87" s="52"/>
      <c r="CW87" s="52"/>
      <c r="CX87" s="52"/>
      <c r="CY87" s="52"/>
      <c r="CZ87" s="52"/>
      <c r="DA87" s="52"/>
      <c r="DB87" s="52"/>
    </row>
    <row r="88" spans="1:106" ht="12.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211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8"/>
      <c r="CV88" s="52"/>
      <c r="CW88" s="52"/>
      <c r="CX88" s="52"/>
      <c r="CY88" s="52"/>
      <c r="CZ88" s="52"/>
      <c r="DA88" s="52"/>
      <c r="DB88" s="52"/>
    </row>
    <row r="89" spans="1:106" ht="12.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211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8"/>
      <c r="CV89" s="52"/>
      <c r="CW89" s="52"/>
      <c r="CX89" s="52"/>
      <c r="CY89" s="52"/>
      <c r="CZ89" s="52"/>
      <c r="DA89" s="52"/>
      <c r="DB89" s="52"/>
    </row>
    <row r="90" spans="1:106" ht="12.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211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8"/>
      <c r="CV90" s="52"/>
      <c r="CW90" s="52"/>
      <c r="CX90" s="52"/>
      <c r="CY90" s="52"/>
      <c r="CZ90" s="52"/>
      <c r="DA90" s="52"/>
      <c r="DB90" s="52"/>
    </row>
    <row r="91" spans="1:106" ht="12.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211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8"/>
      <c r="CV91" s="52"/>
      <c r="CW91" s="52"/>
      <c r="CX91" s="52"/>
      <c r="CY91" s="52"/>
      <c r="CZ91" s="52"/>
      <c r="DA91" s="52"/>
      <c r="DB91" s="52"/>
    </row>
    <row r="92" spans="1:106" ht="12.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211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8"/>
      <c r="CV92" s="52"/>
      <c r="CW92" s="52"/>
      <c r="CX92" s="52"/>
      <c r="CY92" s="52"/>
      <c r="CZ92" s="52"/>
      <c r="DA92" s="52"/>
      <c r="DB92" s="52"/>
    </row>
    <row r="93" spans="1:106" ht="12.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211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8"/>
      <c r="CV93" s="52"/>
      <c r="CW93" s="52"/>
      <c r="CX93" s="52"/>
      <c r="CY93" s="52"/>
      <c r="CZ93" s="52"/>
      <c r="DA93" s="52"/>
      <c r="DB93" s="52"/>
    </row>
    <row r="94" spans="1:106" ht="12.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211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8"/>
      <c r="CV94" s="52"/>
      <c r="CW94" s="52"/>
      <c r="CX94" s="52"/>
      <c r="CY94" s="52"/>
      <c r="CZ94" s="52"/>
      <c r="DA94" s="52"/>
      <c r="DB94" s="52"/>
    </row>
    <row r="95" spans="1:106" ht="12.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211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8"/>
      <c r="CV95" s="52"/>
      <c r="CW95" s="52"/>
      <c r="CX95" s="52"/>
      <c r="CY95" s="52"/>
      <c r="CZ95" s="52"/>
      <c r="DA95" s="52"/>
      <c r="DB95" s="52"/>
    </row>
    <row r="96" spans="1:106" ht="12.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211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8"/>
      <c r="CV96" s="52"/>
      <c r="CW96" s="52"/>
      <c r="CX96" s="52"/>
      <c r="CY96" s="52"/>
      <c r="CZ96" s="52"/>
      <c r="DA96" s="52"/>
      <c r="DB96" s="52"/>
    </row>
    <row r="97" spans="1:106" ht="12.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211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8"/>
      <c r="CV97" s="52"/>
      <c r="CW97" s="52"/>
      <c r="CX97" s="52"/>
      <c r="CY97" s="52"/>
      <c r="CZ97" s="52"/>
      <c r="DA97" s="52"/>
      <c r="DB97" s="52"/>
    </row>
    <row r="98" spans="1:106" ht="12.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211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8"/>
      <c r="CV98" s="52"/>
      <c r="CW98" s="52"/>
      <c r="CX98" s="52"/>
      <c r="CY98" s="52"/>
      <c r="CZ98" s="52"/>
      <c r="DA98" s="52"/>
      <c r="DB98" s="52"/>
    </row>
    <row r="99" spans="1:106" ht="12.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211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8"/>
      <c r="CV99" s="52"/>
      <c r="CW99" s="52"/>
      <c r="CX99" s="52"/>
      <c r="CY99" s="52"/>
      <c r="CZ99" s="52"/>
      <c r="DA99" s="52"/>
      <c r="DB99" s="52"/>
    </row>
    <row r="100" spans="1:106" ht="12.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211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8"/>
      <c r="CV100" s="52"/>
      <c r="CW100" s="52"/>
      <c r="CX100" s="52"/>
      <c r="CY100" s="52"/>
      <c r="CZ100" s="52"/>
      <c r="DA100" s="52"/>
      <c r="DB100" s="52"/>
    </row>
    <row r="101" spans="1:106" ht="12.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211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8"/>
      <c r="CV101" s="52"/>
      <c r="CW101" s="52"/>
      <c r="CX101" s="52"/>
      <c r="CY101" s="52"/>
      <c r="CZ101" s="52"/>
      <c r="DA101" s="52"/>
      <c r="DB101" s="52"/>
    </row>
    <row r="102" spans="1:106" ht="12.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211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8"/>
      <c r="CV102" s="52"/>
      <c r="CW102" s="52"/>
      <c r="CX102" s="52"/>
      <c r="CY102" s="52"/>
      <c r="CZ102" s="52"/>
      <c r="DA102" s="52"/>
      <c r="DB102" s="52"/>
    </row>
    <row r="103" spans="1:106" ht="12.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211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8"/>
      <c r="CV103" s="52"/>
      <c r="CW103" s="52"/>
      <c r="CX103" s="52"/>
      <c r="CY103" s="52"/>
      <c r="CZ103" s="52"/>
      <c r="DA103" s="52"/>
      <c r="DB103" s="52"/>
    </row>
    <row r="104" spans="1:106" ht="12.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211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8"/>
      <c r="CV104" s="52"/>
      <c r="CW104" s="52"/>
      <c r="CX104" s="52"/>
      <c r="CY104" s="52"/>
      <c r="CZ104" s="52"/>
      <c r="DA104" s="52"/>
      <c r="DB104" s="52"/>
    </row>
    <row r="105" spans="1:106" ht="12.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211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8"/>
      <c r="CV105" s="52"/>
      <c r="CW105" s="52"/>
      <c r="CX105" s="52"/>
      <c r="CY105" s="52"/>
      <c r="CZ105" s="52"/>
      <c r="DA105" s="52"/>
      <c r="DB105" s="52"/>
    </row>
    <row r="106" spans="1:106" ht="12.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211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8"/>
      <c r="CV106" s="52"/>
      <c r="CW106" s="52"/>
      <c r="CX106" s="52"/>
      <c r="CY106" s="52"/>
      <c r="CZ106" s="52"/>
      <c r="DA106" s="52"/>
      <c r="DB106" s="52"/>
    </row>
    <row r="107" spans="1:106" ht="12.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211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8"/>
      <c r="CV107" s="52"/>
      <c r="CW107" s="52"/>
      <c r="CX107" s="52"/>
      <c r="CY107" s="52"/>
      <c r="CZ107" s="52"/>
      <c r="DA107" s="52"/>
      <c r="DB107" s="52"/>
    </row>
    <row r="108" spans="1:106" ht="12.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211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8"/>
      <c r="CV108" s="52"/>
      <c r="CW108" s="52"/>
      <c r="CX108" s="52"/>
      <c r="CY108" s="52"/>
      <c r="CZ108" s="52"/>
      <c r="DA108" s="52"/>
      <c r="DB108" s="52"/>
    </row>
    <row r="109" spans="1:106" ht="12.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211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8"/>
      <c r="CV109" s="52"/>
      <c r="CW109" s="52"/>
      <c r="CX109" s="52"/>
      <c r="CY109" s="52"/>
      <c r="CZ109" s="52"/>
      <c r="DA109" s="52"/>
      <c r="DB109" s="52"/>
    </row>
    <row r="110" spans="1:106" ht="12.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211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8"/>
      <c r="CV110" s="52"/>
      <c r="CW110" s="52"/>
      <c r="CX110" s="52"/>
      <c r="CY110" s="52"/>
      <c r="CZ110" s="52"/>
      <c r="DA110" s="52"/>
      <c r="DB110" s="52"/>
    </row>
    <row r="111" spans="1:106" ht="12.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211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8"/>
      <c r="CV111" s="52"/>
      <c r="CW111" s="52"/>
      <c r="CX111" s="52"/>
      <c r="CY111" s="52"/>
      <c r="CZ111" s="52"/>
      <c r="DA111" s="52"/>
      <c r="DB111" s="52"/>
    </row>
    <row r="112" spans="1:106" ht="12.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211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8"/>
      <c r="CV112" s="52"/>
      <c r="CW112" s="52"/>
      <c r="CX112" s="52"/>
      <c r="CY112" s="52"/>
      <c r="CZ112" s="52"/>
      <c r="DA112" s="52"/>
      <c r="DB112" s="52"/>
    </row>
    <row r="113" spans="1:106" ht="12.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211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8"/>
      <c r="CV113" s="52"/>
      <c r="CW113" s="52"/>
      <c r="CX113" s="52"/>
      <c r="CY113" s="52"/>
      <c r="CZ113" s="52"/>
      <c r="DA113" s="52"/>
      <c r="DB113" s="52"/>
    </row>
    <row r="114" spans="1:106" ht="12.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211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8"/>
      <c r="CV114" s="52"/>
      <c r="CW114" s="52"/>
      <c r="CX114" s="52"/>
      <c r="CY114" s="52"/>
      <c r="CZ114" s="52"/>
      <c r="DA114" s="52"/>
      <c r="DB114" s="52"/>
    </row>
    <row r="115" spans="1:106" ht="12.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211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8"/>
      <c r="CV115" s="52"/>
      <c r="CW115" s="52"/>
      <c r="CX115" s="52"/>
      <c r="CY115" s="52"/>
      <c r="CZ115" s="52"/>
      <c r="DA115" s="52"/>
      <c r="DB115" s="52"/>
    </row>
    <row r="116" spans="1:106" ht="12.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211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8"/>
      <c r="CV116" s="52"/>
      <c r="CW116" s="52"/>
      <c r="CX116" s="52"/>
      <c r="CY116" s="52"/>
      <c r="CZ116" s="52"/>
      <c r="DA116" s="52"/>
      <c r="DB116" s="52"/>
    </row>
    <row r="117" spans="1:106" ht="12.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211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8"/>
      <c r="CV117" s="52"/>
      <c r="CW117" s="52"/>
      <c r="CX117" s="52"/>
      <c r="CY117" s="52"/>
      <c r="CZ117" s="52"/>
      <c r="DA117" s="52"/>
      <c r="DB117" s="52"/>
    </row>
    <row r="118" spans="1:106" ht="12.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211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8"/>
      <c r="CV118" s="52"/>
      <c r="CW118" s="52"/>
      <c r="CX118" s="52"/>
      <c r="CY118" s="52"/>
      <c r="CZ118" s="52"/>
      <c r="DA118" s="52"/>
      <c r="DB118" s="52"/>
    </row>
    <row r="119" spans="1:106" ht="12.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211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8"/>
      <c r="CV119" s="52"/>
      <c r="CW119" s="52"/>
      <c r="CX119" s="52"/>
      <c r="CY119" s="52"/>
      <c r="CZ119" s="52"/>
      <c r="DA119" s="52"/>
      <c r="DB119" s="52"/>
    </row>
    <row r="120" spans="1:106" ht="12.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211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8"/>
      <c r="CV120" s="52"/>
      <c r="CW120" s="52"/>
      <c r="CX120" s="52"/>
      <c r="CY120" s="52"/>
      <c r="CZ120" s="52"/>
      <c r="DA120" s="52"/>
      <c r="DB120" s="52"/>
    </row>
    <row r="121" spans="1:106" ht="12.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211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8"/>
      <c r="CV121" s="52"/>
      <c r="CW121" s="52"/>
      <c r="CX121" s="52"/>
      <c r="CY121" s="52"/>
      <c r="CZ121" s="52"/>
      <c r="DA121" s="52"/>
      <c r="DB121" s="52"/>
    </row>
    <row r="122" spans="1:106" ht="12.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211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8"/>
      <c r="CV122" s="52"/>
      <c r="CW122" s="52"/>
      <c r="CX122" s="52"/>
      <c r="CY122" s="52"/>
      <c r="CZ122" s="52"/>
      <c r="DA122" s="52"/>
      <c r="DB122" s="52"/>
    </row>
    <row r="123" spans="1:106" ht="12.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211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8"/>
      <c r="CV123" s="52"/>
      <c r="CW123" s="52"/>
      <c r="CX123" s="52"/>
      <c r="CY123" s="52"/>
      <c r="CZ123" s="52"/>
      <c r="DA123" s="52"/>
      <c r="DB123" s="52"/>
    </row>
    <row r="124" spans="1:106" ht="12.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211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8"/>
      <c r="CV124" s="52"/>
      <c r="CW124" s="52"/>
      <c r="CX124" s="52"/>
      <c r="CY124" s="52"/>
      <c r="CZ124" s="52"/>
      <c r="DA124" s="52"/>
      <c r="DB124" s="52"/>
    </row>
    <row r="125" spans="1:106" ht="12.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211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8"/>
      <c r="CV125" s="52"/>
      <c r="CW125" s="52"/>
      <c r="CX125" s="52"/>
      <c r="CY125" s="52"/>
      <c r="CZ125" s="52"/>
      <c r="DA125" s="52"/>
      <c r="DB125" s="52"/>
    </row>
    <row r="126" spans="1:106" ht="12.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211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8"/>
      <c r="CV126" s="52"/>
      <c r="CW126" s="52"/>
      <c r="CX126" s="52"/>
      <c r="CY126" s="52"/>
      <c r="CZ126" s="52"/>
      <c r="DA126" s="52"/>
      <c r="DB126" s="52"/>
    </row>
    <row r="127" spans="1:106" ht="12.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211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8"/>
      <c r="CV127" s="52"/>
      <c r="CW127" s="52"/>
      <c r="CX127" s="52"/>
      <c r="CY127" s="52"/>
      <c r="CZ127" s="52"/>
      <c r="DA127" s="52"/>
      <c r="DB127" s="52"/>
    </row>
    <row r="128" spans="1:106" ht="12.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211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8"/>
      <c r="CV128" s="52"/>
      <c r="CW128" s="52"/>
      <c r="CX128" s="52"/>
      <c r="CY128" s="52"/>
      <c r="CZ128" s="52"/>
      <c r="DA128" s="52"/>
      <c r="DB128" s="52"/>
    </row>
    <row r="129" spans="1:106" ht="12.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211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8"/>
      <c r="CV129" s="52"/>
      <c r="CW129" s="52"/>
      <c r="CX129" s="52"/>
      <c r="CY129" s="52"/>
      <c r="CZ129" s="52"/>
      <c r="DA129" s="52"/>
      <c r="DB129" s="52"/>
    </row>
    <row r="130" spans="1:106" ht="12.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211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8"/>
      <c r="CV130" s="52"/>
      <c r="CW130" s="52"/>
      <c r="CX130" s="52"/>
      <c r="CY130" s="52"/>
      <c r="CZ130" s="52"/>
      <c r="DA130" s="52"/>
      <c r="DB130" s="52"/>
    </row>
    <row r="131" spans="1:106" ht="12.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211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8"/>
      <c r="CV131" s="52"/>
      <c r="CW131" s="52"/>
      <c r="CX131" s="52"/>
      <c r="CY131" s="52"/>
      <c r="CZ131" s="52"/>
      <c r="DA131" s="52"/>
      <c r="DB131" s="52"/>
    </row>
    <row r="132" spans="1:106" ht="12.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211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8"/>
      <c r="CV132" s="52"/>
      <c r="CW132" s="52"/>
      <c r="CX132" s="52"/>
      <c r="CY132" s="52"/>
      <c r="CZ132" s="52"/>
      <c r="DA132" s="52"/>
      <c r="DB132" s="52"/>
    </row>
    <row r="133" spans="1:106" ht="12.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211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8"/>
      <c r="CV133" s="52"/>
      <c r="CW133" s="52"/>
      <c r="CX133" s="52"/>
      <c r="CY133" s="52"/>
      <c r="CZ133" s="52"/>
      <c r="DA133" s="52"/>
      <c r="DB133" s="52"/>
    </row>
    <row r="134" spans="1:106" ht="12.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211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8"/>
      <c r="CV134" s="52"/>
      <c r="CW134" s="52"/>
      <c r="CX134" s="52"/>
      <c r="CY134" s="52"/>
      <c r="CZ134" s="52"/>
      <c r="DA134" s="52"/>
      <c r="DB134" s="52"/>
    </row>
    <row r="135" spans="1:106" ht="12.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211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8"/>
      <c r="CV135" s="52"/>
      <c r="CW135" s="52"/>
      <c r="CX135" s="52"/>
      <c r="CY135" s="52"/>
      <c r="CZ135" s="52"/>
      <c r="DA135" s="52"/>
      <c r="DB135" s="52"/>
    </row>
    <row r="136" spans="1:106" ht="12.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211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8"/>
      <c r="CV136" s="52"/>
      <c r="CW136" s="52"/>
      <c r="CX136" s="52"/>
      <c r="CY136" s="52"/>
      <c r="CZ136" s="52"/>
      <c r="DA136" s="52"/>
      <c r="DB136" s="52"/>
    </row>
    <row r="137" spans="1:106" ht="12.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211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8"/>
      <c r="CV137" s="52"/>
      <c r="CW137" s="52"/>
      <c r="CX137" s="52"/>
      <c r="CY137" s="52"/>
      <c r="CZ137" s="52"/>
      <c r="DA137" s="52"/>
      <c r="DB137" s="52"/>
    </row>
    <row r="138" spans="1:106" ht="12.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211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8"/>
      <c r="CV138" s="52"/>
      <c r="CW138" s="52"/>
      <c r="CX138" s="52"/>
      <c r="CY138" s="52"/>
      <c r="CZ138" s="52"/>
      <c r="DA138" s="52"/>
      <c r="DB138" s="52"/>
    </row>
    <row r="139" spans="1:106" ht="12.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211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8"/>
      <c r="CV139" s="52"/>
      <c r="CW139" s="52"/>
      <c r="CX139" s="52"/>
      <c r="CY139" s="52"/>
      <c r="CZ139" s="52"/>
      <c r="DA139" s="52"/>
      <c r="DB139" s="52"/>
    </row>
    <row r="140" spans="1:106" ht="12.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211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8"/>
      <c r="CV140" s="52"/>
      <c r="CW140" s="52"/>
      <c r="CX140" s="52"/>
      <c r="CY140" s="52"/>
      <c r="CZ140" s="52"/>
      <c r="DA140" s="52"/>
      <c r="DB140" s="52"/>
    </row>
    <row r="141" spans="1:106" ht="12.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211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8"/>
      <c r="CV141" s="52"/>
      <c r="CW141" s="52"/>
      <c r="CX141" s="52"/>
      <c r="CY141" s="52"/>
      <c r="CZ141" s="52"/>
      <c r="DA141" s="52"/>
      <c r="DB141" s="52"/>
    </row>
    <row r="142" spans="1:106" ht="12.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211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8"/>
      <c r="CV142" s="52"/>
      <c r="CW142" s="52"/>
      <c r="CX142" s="52"/>
      <c r="CY142" s="52"/>
      <c r="CZ142" s="52"/>
      <c r="DA142" s="52"/>
      <c r="DB142" s="52"/>
    </row>
    <row r="143" spans="1:106" ht="12.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211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8"/>
      <c r="CV143" s="52"/>
      <c r="CW143" s="52"/>
      <c r="CX143" s="52"/>
      <c r="CY143" s="52"/>
      <c r="CZ143" s="52"/>
      <c r="DA143" s="52"/>
      <c r="DB143" s="52"/>
    </row>
    <row r="144" spans="1:106" ht="12.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211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8"/>
      <c r="CV144" s="52"/>
      <c r="CW144" s="52"/>
      <c r="CX144" s="52"/>
      <c r="CY144" s="52"/>
      <c r="CZ144" s="52"/>
      <c r="DA144" s="52"/>
      <c r="DB144" s="52"/>
    </row>
    <row r="145" spans="1:106" ht="12.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211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8"/>
      <c r="CV145" s="52"/>
      <c r="CW145" s="52"/>
      <c r="CX145" s="52"/>
      <c r="CY145" s="52"/>
      <c r="CZ145" s="52"/>
      <c r="DA145" s="52"/>
      <c r="DB145" s="52"/>
    </row>
    <row r="146" spans="1:106" ht="12.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211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8"/>
      <c r="CV146" s="52"/>
      <c r="CW146" s="52"/>
      <c r="CX146" s="52"/>
      <c r="CY146" s="52"/>
      <c r="CZ146" s="52"/>
      <c r="DA146" s="52"/>
      <c r="DB146" s="52"/>
    </row>
    <row r="147" spans="1:106" ht="12.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211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8"/>
      <c r="CV147" s="52"/>
      <c r="CW147" s="52"/>
      <c r="CX147" s="52"/>
      <c r="CY147" s="52"/>
      <c r="CZ147" s="52"/>
      <c r="DA147" s="52"/>
      <c r="DB147" s="52"/>
    </row>
    <row r="148" spans="1:106" ht="12.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211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8"/>
      <c r="CV148" s="52"/>
      <c r="CW148" s="52"/>
      <c r="CX148" s="52"/>
      <c r="CY148" s="52"/>
      <c r="CZ148" s="52"/>
      <c r="DA148" s="52"/>
      <c r="DB148" s="52"/>
    </row>
    <row r="149" spans="1:106" ht="12.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211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8"/>
      <c r="CV149" s="52"/>
      <c r="CW149" s="52"/>
      <c r="CX149" s="52"/>
      <c r="CY149" s="52"/>
      <c r="CZ149" s="52"/>
      <c r="DA149" s="52"/>
      <c r="DB149" s="52"/>
    </row>
    <row r="150" spans="1:106" ht="12.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211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8"/>
      <c r="CV150" s="52"/>
      <c r="CW150" s="52"/>
      <c r="CX150" s="52"/>
      <c r="CY150" s="52"/>
      <c r="CZ150" s="52"/>
      <c r="DA150" s="52"/>
      <c r="DB150" s="52"/>
    </row>
    <row r="151" spans="1:106" ht="12.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211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8"/>
      <c r="CV151" s="52"/>
      <c r="CW151" s="52"/>
      <c r="CX151" s="52"/>
      <c r="CY151" s="52"/>
      <c r="CZ151" s="52"/>
      <c r="DA151" s="52"/>
      <c r="DB151" s="52"/>
    </row>
    <row r="152" spans="1:106" ht="12.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211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8"/>
      <c r="CV152" s="52"/>
      <c r="CW152" s="52"/>
      <c r="CX152" s="52"/>
      <c r="CY152" s="52"/>
      <c r="CZ152" s="52"/>
      <c r="DA152" s="52"/>
      <c r="DB152" s="52"/>
    </row>
    <row r="153" spans="1:106" ht="12.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211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8"/>
      <c r="CV153" s="52"/>
      <c r="CW153" s="52"/>
      <c r="CX153" s="52"/>
      <c r="CY153" s="52"/>
      <c r="CZ153" s="52"/>
      <c r="DA153" s="52"/>
      <c r="DB153" s="52"/>
    </row>
    <row r="154" spans="1:106" ht="12.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211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8"/>
      <c r="CV154" s="52"/>
      <c r="CW154" s="52"/>
      <c r="CX154" s="52"/>
      <c r="CY154" s="52"/>
      <c r="CZ154" s="52"/>
      <c r="DA154" s="52"/>
      <c r="DB154" s="52"/>
    </row>
    <row r="155" spans="1:106" ht="12.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211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8"/>
      <c r="CV155" s="52"/>
      <c r="CW155" s="52"/>
      <c r="CX155" s="52"/>
      <c r="CY155" s="52"/>
      <c r="CZ155" s="52"/>
      <c r="DA155" s="52"/>
      <c r="DB155" s="52"/>
    </row>
    <row r="156" spans="1:106" ht="12.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211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8"/>
      <c r="CV156" s="52"/>
      <c r="CW156" s="52"/>
      <c r="CX156" s="52"/>
      <c r="CY156" s="52"/>
      <c r="CZ156" s="52"/>
      <c r="DA156" s="52"/>
      <c r="DB156" s="52"/>
    </row>
    <row r="157" spans="1:106" ht="12.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211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8"/>
      <c r="CV157" s="52"/>
      <c r="CW157" s="52"/>
      <c r="CX157" s="52"/>
      <c r="CY157" s="52"/>
      <c r="CZ157" s="52"/>
      <c r="DA157" s="52"/>
      <c r="DB157" s="52"/>
    </row>
    <row r="158" spans="1:106" ht="12.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211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8"/>
      <c r="CV158" s="52"/>
      <c r="CW158" s="52"/>
      <c r="CX158" s="52"/>
      <c r="CY158" s="52"/>
      <c r="CZ158" s="52"/>
      <c r="DA158" s="52"/>
      <c r="DB158" s="52"/>
    </row>
    <row r="159" spans="1:106" ht="12.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211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8"/>
      <c r="CV159" s="52"/>
      <c r="CW159" s="52"/>
      <c r="CX159" s="52"/>
      <c r="CY159" s="52"/>
      <c r="CZ159" s="52"/>
      <c r="DA159" s="52"/>
      <c r="DB159" s="52"/>
    </row>
    <row r="160" spans="1:106" ht="12.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211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8"/>
      <c r="CV160" s="52"/>
      <c r="CW160" s="52"/>
      <c r="CX160" s="52"/>
      <c r="CY160" s="52"/>
      <c r="CZ160" s="52"/>
      <c r="DA160" s="52"/>
      <c r="DB160" s="52"/>
    </row>
    <row r="161" spans="1:106" ht="12.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211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8"/>
      <c r="CV161" s="52"/>
      <c r="CW161" s="52"/>
      <c r="CX161" s="52"/>
      <c r="CY161" s="52"/>
      <c r="CZ161" s="52"/>
      <c r="DA161" s="52"/>
      <c r="DB161" s="52"/>
    </row>
    <row r="162" spans="1:106" ht="12.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211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8"/>
      <c r="CV162" s="52"/>
      <c r="CW162" s="52"/>
      <c r="CX162" s="52"/>
      <c r="CY162" s="52"/>
      <c r="CZ162" s="52"/>
      <c r="DA162" s="52"/>
      <c r="DB162" s="52"/>
    </row>
    <row r="163" spans="1:106" ht="12.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211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8"/>
      <c r="CV163" s="52"/>
      <c r="CW163" s="52"/>
      <c r="CX163" s="52"/>
      <c r="CY163" s="52"/>
      <c r="CZ163" s="52"/>
      <c r="DA163" s="52"/>
      <c r="DB163" s="52"/>
    </row>
    <row r="164" spans="1:106" ht="12.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211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8"/>
      <c r="CV164" s="52"/>
      <c r="CW164" s="52"/>
      <c r="CX164" s="52"/>
      <c r="CY164" s="52"/>
      <c r="CZ164" s="52"/>
      <c r="DA164" s="52"/>
      <c r="DB164" s="52"/>
    </row>
    <row r="165" spans="1:106" ht="12.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211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8"/>
      <c r="CV165" s="52"/>
      <c r="CW165" s="52"/>
      <c r="CX165" s="52"/>
      <c r="CY165" s="52"/>
      <c r="CZ165" s="52"/>
      <c r="DA165" s="52"/>
      <c r="DB165" s="52"/>
    </row>
    <row r="166" spans="1:106" ht="12.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211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8"/>
      <c r="CV166" s="52"/>
      <c r="CW166" s="52"/>
      <c r="CX166" s="52"/>
      <c r="CY166" s="52"/>
      <c r="CZ166" s="52"/>
      <c r="DA166" s="52"/>
      <c r="DB166" s="52"/>
    </row>
    <row r="167" spans="1:106" ht="12.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211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8"/>
      <c r="CV167" s="52"/>
      <c r="CW167" s="52"/>
      <c r="CX167" s="52"/>
      <c r="CY167" s="52"/>
      <c r="CZ167" s="52"/>
      <c r="DA167" s="52"/>
      <c r="DB167" s="52"/>
    </row>
    <row r="168" spans="1:106" ht="12.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211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8"/>
      <c r="CV168" s="52"/>
      <c r="CW168" s="52"/>
      <c r="CX168" s="52"/>
      <c r="CY168" s="52"/>
      <c r="CZ168" s="52"/>
      <c r="DA168" s="52"/>
      <c r="DB168" s="52"/>
    </row>
    <row r="169" spans="1:106" ht="12.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211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8"/>
      <c r="CV169" s="52"/>
      <c r="CW169" s="52"/>
      <c r="CX169" s="52"/>
      <c r="CY169" s="52"/>
      <c r="CZ169" s="52"/>
      <c r="DA169" s="52"/>
      <c r="DB169" s="52"/>
    </row>
    <row r="170" spans="1:106" ht="12.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211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8"/>
      <c r="CV170" s="52"/>
      <c r="CW170" s="52"/>
      <c r="CX170" s="52"/>
      <c r="CY170" s="52"/>
      <c r="CZ170" s="52"/>
      <c r="DA170" s="52"/>
      <c r="DB170" s="52"/>
    </row>
    <row r="171" spans="1:106" ht="12.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211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8"/>
      <c r="CV171" s="52"/>
      <c r="CW171" s="52"/>
      <c r="CX171" s="52"/>
      <c r="CY171" s="52"/>
      <c r="CZ171" s="52"/>
      <c r="DA171" s="52"/>
      <c r="DB171" s="52"/>
    </row>
    <row r="172" spans="1:106" ht="12.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211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8"/>
      <c r="CV172" s="52"/>
      <c r="CW172" s="52"/>
      <c r="CX172" s="52"/>
      <c r="CY172" s="52"/>
      <c r="CZ172" s="52"/>
      <c r="DA172" s="52"/>
      <c r="DB172" s="52"/>
    </row>
    <row r="173" spans="1:106" ht="12.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211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8"/>
      <c r="CV173" s="52"/>
      <c r="CW173" s="52"/>
      <c r="CX173" s="52"/>
      <c r="CY173" s="52"/>
      <c r="CZ173" s="52"/>
      <c r="DA173" s="52"/>
      <c r="DB173" s="52"/>
    </row>
    <row r="174" spans="1:106" ht="12.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211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8"/>
      <c r="CV174" s="52"/>
      <c r="CW174" s="52"/>
      <c r="CX174" s="52"/>
      <c r="CY174" s="52"/>
      <c r="CZ174" s="52"/>
      <c r="DA174" s="52"/>
      <c r="DB174" s="52"/>
    </row>
    <row r="175" spans="1:106" ht="12.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211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8"/>
      <c r="CV175" s="52"/>
      <c r="CW175" s="52"/>
      <c r="CX175" s="52"/>
      <c r="CY175" s="52"/>
      <c r="CZ175" s="52"/>
      <c r="DA175" s="52"/>
      <c r="DB175" s="52"/>
    </row>
    <row r="176" spans="1:106" ht="12.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211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8"/>
      <c r="CV176" s="52"/>
      <c r="CW176" s="52"/>
      <c r="CX176" s="52"/>
      <c r="CY176" s="52"/>
      <c r="CZ176" s="52"/>
      <c r="DA176" s="52"/>
      <c r="DB176" s="52"/>
    </row>
    <row r="177" spans="1:106" ht="12.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211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8"/>
      <c r="CV177" s="52"/>
      <c r="CW177" s="52"/>
      <c r="CX177" s="52"/>
      <c r="CY177" s="52"/>
      <c r="CZ177" s="52"/>
      <c r="DA177" s="52"/>
      <c r="DB177" s="52"/>
    </row>
    <row r="178" spans="1:106" ht="12.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211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8"/>
      <c r="CV178" s="52"/>
      <c r="CW178" s="52"/>
      <c r="CX178" s="52"/>
      <c r="CY178" s="52"/>
      <c r="CZ178" s="52"/>
      <c r="DA178" s="52"/>
      <c r="DB178" s="52"/>
    </row>
    <row r="179" spans="1:106" ht="12.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211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8"/>
      <c r="CV179" s="52"/>
      <c r="CW179" s="52"/>
      <c r="CX179" s="52"/>
      <c r="CY179" s="52"/>
      <c r="CZ179" s="52"/>
      <c r="DA179" s="52"/>
      <c r="DB179" s="52"/>
    </row>
    <row r="180" spans="1:106" ht="12.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211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8"/>
      <c r="CV180" s="52"/>
      <c r="CW180" s="52"/>
      <c r="CX180" s="52"/>
      <c r="CY180" s="52"/>
      <c r="CZ180" s="52"/>
      <c r="DA180" s="52"/>
      <c r="DB180" s="52"/>
    </row>
    <row r="181" spans="1:106" ht="12.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211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8"/>
      <c r="CV181" s="52"/>
      <c r="CW181" s="52"/>
      <c r="CX181" s="52"/>
      <c r="CY181" s="52"/>
      <c r="CZ181" s="52"/>
      <c r="DA181" s="52"/>
      <c r="DB181" s="52"/>
    </row>
    <row r="182" spans="1:106" ht="12.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211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8"/>
      <c r="CV182" s="52"/>
      <c r="CW182" s="52"/>
      <c r="CX182" s="52"/>
      <c r="CY182" s="52"/>
      <c r="CZ182" s="52"/>
      <c r="DA182" s="52"/>
      <c r="DB182" s="52"/>
    </row>
    <row r="183" spans="1:106" ht="12.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211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8"/>
      <c r="CV183" s="52"/>
      <c r="CW183" s="52"/>
      <c r="CX183" s="52"/>
      <c r="CY183" s="52"/>
      <c r="CZ183" s="52"/>
      <c r="DA183" s="52"/>
      <c r="DB183" s="52"/>
    </row>
    <row r="184" spans="1:106" ht="12.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211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8"/>
      <c r="CV184" s="52"/>
      <c r="CW184" s="52"/>
      <c r="CX184" s="52"/>
      <c r="CY184" s="52"/>
      <c r="CZ184" s="52"/>
      <c r="DA184" s="52"/>
      <c r="DB184" s="52"/>
    </row>
    <row r="185" spans="1:106" ht="12.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211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8"/>
      <c r="CV185" s="52"/>
      <c r="CW185" s="52"/>
      <c r="CX185" s="52"/>
      <c r="CY185" s="52"/>
      <c r="CZ185" s="52"/>
      <c r="DA185" s="52"/>
      <c r="DB185" s="52"/>
    </row>
    <row r="186" spans="1:106" ht="12.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211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8"/>
      <c r="CV186" s="52"/>
      <c r="CW186" s="52"/>
      <c r="CX186" s="52"/>
      <c r="CY186" s="52"/>
      <c r="CZ186" s="52"/>
      <c r="DA186" s="52"/>
      <c r="DB186" s="52"/>
    </row>
    <row r="187" spans="1:106" ht="12.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211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8"/>
      <c r="CV187" s="52"/>
      <c r="CW187" s="52"/>
      <c r="CX187" s="52"/>
      <c r="CY187" s="52"/>
      <c r="CZ187" s="52"/>
      <c r="DA187" s="52"/>
      <c r="DB187" s="52"/>
    </row>
    <row r="188" spans="1:106" ht="12.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211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8"/>
      <c r="CV188" s="52"/>
      <c r="CW188" s="52"/>
      <c r="CX188" s="52"/>
      <c r="CY188" s="52"/>
      <c r="CZ188" s="52"/>
      <c r="DA188" s="52"/>
      <c r="DB188" s="52"/>
    </row>
    <row r="189" spans="1:106" ht="12.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211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8"/>
      <c r="CV189" s="52"/>
      <c r="CW189" s="52"/>
      <c r="CX189" s="52"/>
      <c r="CY189" s="52"/>
      <c r="CZ189" s="52"/>
      <c r="DA189" s="52"/>
      <c r="DB189" s="52"/>
    </row>
    <row r="190" spans="1:106" ht="12.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211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8"/>
      <c r="CV190" s="52"/>
      <c r="CW190" s="52"/>
      <c r="CX190" s="52"/>
      <c r="CY190" s="52"/>
      <c r="CZ190" s="52"/>
      <c r="DA190" s="52"/>
      <c r="DB190" s="52"/>
    </row>
    <row r="191" spans="1:106" ht="12.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211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8"/>
      <c r="CV191" s="52"/>
      <c r="CW191" s="52"/>
      <c r="CX191" s="52"/>
      <c r="CY191" s="52"/>
      <c r="CZ191" s="52"/>
      <c r="DA191" s="52"/>
      <c r="DB191" s="52"/>
    </row>
    <row r="192" spans="1:106" ht="12.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211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8"/>
      <c r="CV192" s="52"/>
      <c r="CW192" s="52"/>
      <c r="CX192" s="52"/>
      <c r="CY192" s="52"/>
      <c r="CZ192" s="52"/>
      <c r="DA192" s="52"/>
      <c r="DB192" s="52"/>
    </row>
    <row r="193" spans="1:106" ht="12.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211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8"/>
      <c r="CV193" s="52"/>
      <c r="CW193" s="52"/>
      <c r="CX193" s="52"/>
      <c r="CY193" s="52"/>
      <c r="CZ193" s="52"/>
      <c r="DA193" s="52"/>
      <c r="DB193" s="52"/>
    </row>
    <row r="194" spans="1:106" ht="12.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211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8"/>
      <c r="CV194" s="52"/>
      <c r="CW194" s="52"/>
      <c r="CX194" s="52"/>
      <c r="CY194" s="52"/>
      <c r="CZ194" s="52"/>
      <c r="DA194" s="52"/>
      <c r="DB194" s="52"/>
    </row>
    <row r="195" spans="1:106" ht="12.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211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8"/>
      <c r="CV195" s="52"/>
      <c r="CW195" s="52"/>
      <c r="CX195" s="52"/>
      <c r="CY195" s="52"/>
      <c r="CZ195" s="52"/>
      <c r="DA195" s="52"/>
      <c r="DB195" s="52"/>
    </row>
    <row r="196" spans="1:106" ht="12.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211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8"/>
      <c r="CV196" s="52"/>
      <c r="CW196" s="52"/>
      <c r="CX196" s="52"/>
      <c r="CY196" s="52"/>
      <c r="CZ196" s="52"/>
      <c r="DA196" s="52"/>
      <c r="DB196" s="52"/>
    </row>
    <row r="197" spans="1:106" ht="12.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211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8"/>
      <c r="CV197" s="52"/>
      <c r="CW197" s="52"/>
      <c r="CX197" s="52"/>
      <c r="CY197" s="52"/>
      <c r="CZ197" s="52"/>
      <c r="DA197" s="52"/>
      <c r="DB197" s="52"/>
    </row>
    <row r="198" spans="1:106" ht="12.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211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8"/>
      <c r="CV198" s="52"/>
      <c r="CW198" s="52"/>
      <c r="CX198" s="52"/>
      <c r="CY198" s="52"/>
      <c r="CZ198" s="52"/>
      <c r="DA198" s="52"/>
      <c r="DB198" s="52"/>
    </row>
    <row r="199" spans="1:106" ht="12.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211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8"/>
      <c r="CV199" s="52"/>
      <c r="CW199" s="52"/>
      <c r="CX199" s="52"/>
      <c r="CY199" s="52"/>
      <c r="CZ199" s="52"/>
      <c r="DA199" s="52"/>
      <c r="DB199" s="52"/>
    </row>
    <row r="200" spans="1:106" ht="12.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211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8"/>
      <c r="CV200" s="52"/>
      <c r="CW200" s="52"/>
      <c r="CX200" s="52"/>
      <c r="CY200" s="52"/>
      <c r="CZ200" s="52"/>
      <c r="DA200" s="52"/>
      <c r="DB200" s="52"/>
    </row>
    <row r="201" spans="1:106" ht="12.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211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8"/>
      <c r="CV201" s="52"/>
      <c r="CW201" s="52"/>
      <c r="CX201" s="52"/>
      <c r="CY201" s="52"/>
      <c r="CZ201" s="52"/>
      <c r="DA201" s="52"/>
      <c r="DB201" s="52"/>
    </row>
    <row r="202" spans="1:106" ht="12.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211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8"/>
      <c r="CV202" s="52"/>
      <c r="CW202" s="52"/>
      <c r="CX202" s="52"/>
      <c r="CY202" s="52"/>
      <c r="CZ202" s="52"/>
      <c r="DA202" s="52"/>
      <c r="DB202" s="52"/>
    </row>
    <row r="203" spans="1:106" ht="12.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211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8"/>
      <c r="CV203" s="52"/>
      <c r="CW203" s="52"/>
      <c r="CX203" s="52"/>
      <c r="CY203" s="52"/>
      <c r="CZ203" s="52"/>
      <c r="DA203" s="52"/>
      <c r="DB203" s="52"/>
    </row>
    <row r="204" spans="1:106" ht="12.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211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8"/>
      <c r="CV204" s="52"/>
      <c r="CW204" s="52"/>
      <c r="CX204" s="52"/>
      <c r="CY204" s="52"/>
      <c r="CZ204" s="52"/>
      <c r="DA204" s="52"/>
      <c r="DB204" s="52"/>
    </row>
    <row r="205" spans="1:106" ht="12.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211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8"/>
      <c r="CV205" s="52"/>
      <c r="CW205" s="52"/>
      <c r="CX205" s="52"/>
      <c r="CY205" s="52"/>
      <c r="CZ205" s="52"/>
      <c r="DA205" s="52"/>
      <c r="DB205" s="52"/>
    </row>
    <row r="206" spans="1:106" ht="12.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211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8"/>
      <c r="CV206" s="52"/>
      <c r="CW206" s="52"/>
      <c r="CX206" s="52"/>
      <c r="CY206" s="52"/>
      <c r="CZ206" s="52"/>
      <c r="DA206" s="52"/>
      <c r="DB206" s="52"/>
    </row>
    <row r="207" spans="1:106" ht="12.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211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8"/>
      <c r="CV207" s="52"/>
      <c r="CW207" s="52"/>
      <c r="CX207" s="52"/>
      <c r="CY207" s="52"/>
      <c r="CZ207" s="52"/>
      <c r="DA207" s="52"/>
      <c r="DB207" s="52"/>
    </row>
    <row r="208" spans="1:106" ht="12.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211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8"/>
      <c r="CV208" s="52"/>
      <c r="CW208" s="52"/>
      <c r="CX208" s="52"/>
      <c r="CY208" s="52"/>
      <c r="CZ208" s="52"/>
      <c r="DA208" s="52"/>
      <c r="DB208" s="52"/>
    </row>
    <row r="209" spans="1:106" ht="12.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211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8"/>
      <c r="CV209" s="52"/>
      <c r="CW209" s="52"/>
      <c r="CX209" s="52"/>
      <c r="CY209" s="52"/>
      <c r="CZ209" s="52"/>
      <c r="DA209" s="52"/>
      <c r="DB209" s="52"/>
    </row>
    <row r="210" spans="1:106" ht="12.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211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8"/>
      <c r="CV210" s="52"/>
      <c r="CW210" s="52"/>
      <c r="CX210" s="52"/>
      <c r="CY210" s="52"/>
      <c r="CZ210" s="52"/>
      <c r="DA210" s="52"/>
      <c r="DB210" s="52"/>
    </row>
    <row r="211" spans="1:106" ht="12.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211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8"/>
      <c r="CV211" s="52"/>
      <c r="CW211" s="52"/>
      <c r="CX211" s="52"/>
      <c r="CY211" s="52"/>
      <c r="CZ211" s="52"/>
      <c r="DA211" s="52"/>
      <c r="DB211" s="52"/>
    </row>
    <row r="212" spans="1:106" ht="12.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211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8"/>
      <c r="CV212" s="52"/>
      <c r="CW212" s="52"/>
      <c r="CX212" s="52"/>
      <c r="CY212" s="52"/>
      <c r="CZ212" s="52"/>
      <c r="DA212" s="52"/>
      <c r="DB212" s="52"/>
    </row>
    <row r="213" spans="1:106" ht="12.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211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8"/>
      <c r="CV213" s="52"/>
      <c r="CW213" s="52"/>
      <c r="CX213" s="52"/>
      <c r="CY213" s="52"/>
      <c r="CZ213" s="52"/>
      <c r="DA213" s="52"/>
      <c r="DB213" s="52"/>
    </row>
    <row r="214" spans="1:106" ht="12.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211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8"/>
      <c r="CV214" s="52"/>
      <c r="CW214" s="52"/>
      <c r="CX214" s="52"/>
      <c r="CY214" s="52"/>
      <c r="CZ214" s="52"/>
      <c r="DA214" s="52"/>
      <c r="DB214" s="52"/>
    </row>
    <row r="215" spans="1:106" ht="12.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211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8"/>
      <c r="CV215" s="52"/>
      <c r="CW215" s="52"/>
      <c r="CX215" s="52"/>
      <c r="CY215" s="52"/>
      <c r="CZ215" s="52"/>
      <c r="DA215" s="52"/>
      <c r="DB215" s="52"/>
    </row>
    <row r="216" spans="1:106" ht="12.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211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8"/>
      <c r="CV216" s="52"/>
      <c r="CW216" s="52"/>
      <c r="CX216" s="52"/>
      <c r="CY216" s="52"/>
      <c r="CZ216" s="52"/>
      <c r="DA216" s="52"/>
      <c r="DB216" s="52"/>
    </row>
    <row r="217" spans="1:106" ht="12.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211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8"/>
      <c r="CV217" s="52"/>
      <c r="CW217" s="52"/>
      <c r="CX217" s="52"/>
      <c r="CY217" s="52"/>
      <c r="CZ217" s="52"/>
      <c r="DA217" s="52"/>
      <c r="DB217" s="52"/>
    </row>
    <row r="218" spans="1:106" ht="12.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211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8"/>
      <c r="CV218" s="52"/>
      <c r="CW218" s="52"/>
      <c r="CX218" s="52"/>
      <c r="CY218" s="52"/>
      <c r="CZ218" s="52"/>
      <c r="DA218" s="52"/>
      <c r="DB218" s="52"/>
    </row>
    <row r="219" spans="1:106" ht="12.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211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8"/>
      <c r="CV219" s="52"/>
      <c r="CW219" s="52"/>
      <c r="CX219" s="52"/>
      <c r="CY219" s="52"/>
      <c r="CZ219" s="52"/>
      <c r="DA219" s="52"/>
      <c r="DB219" s="52"/>
    </row>
    <row r="220" spans="1:106" ht="12.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211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8"/>
      <c r="CV220" s="52"/>
      <c r="CW220" s="52"/>
      <c r="CX220" s="52"/>
      <c r="CY220" s="52"/>
      <c r="CZ220" s="52"/>
      <c r="DA220" s="52"/>
      <c r="DB220" s="52"/>
    </row>
    <row r="221" spans="1:106" ht="12.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211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8"/>
      <c r="CV221" s="52"/>
      <c r="CW221" s="52"/>
      <c r="CX221" s="52"/>
      <c r="CY221" s="52"/>
      <c r="CZ221" s="52"/>
      <c r="DA221" s="52"/>
      <c r="DB221" s="52"/>
    </row>
    <row r="222" spans="1:106" ht="12.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211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8"/>
      <c r="CV222" s="52"/>
      <c r="CW222" s="52"/>
      <c r="CX222" s="52"/>
      <c r="CY222" s="52"/>
      <c r="CZ222" s="52"/>
      <c r="DA222" s="52"/>
      <c r="DB222" s="52"/>
    </row>
    <row r="223" spans="1:106" ht="12.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211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8"/>
      <c r="CV223" s="52"/>
      <c r="CW223" s="52"/>
      <c r="CX223" s="52"/>
      <c r="CY223" s="52"/>
      <c r="CZ223" s="52"/>
      <c r="DA223" s="52"/>
      <c r="DB223" s="52"/>
    </row>
    <row r="224" spans="1:106" ht="12.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211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8"/>
      <c r="CV224" s="52"/>
      <c r="CW224" s="52"/>
      <c r="CX224" s="52"/>
      <c r="CY224" s="52"/>
      <c r="CZ224" s="52"/>
      <c r="DA224" s="52"/>
      <c r="DB224" s="52"/>
    </row>
    <row r="225" spans="1:106" ht="12.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211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8"/>
      <c r="CV225" s="52"/>
      <c r="CW225" s="52"/>
      <c r="CX225" s="52"/>
      <c r="CY225" s="52"/>
      <c r="CZ225" s="52"/>
      <c r="DA225" s="52"/>
      <c r="DB225" s="52"/>
    </row>
    <row r="226" spans="1:106" ht="12.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211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8"/>
      <c r="CV226" s="52"/>
      <c r="CW226" s="52"/>
      <c r="CX226" s="52"/>
      <c r="CY226" s="52"/>
      <c r="CZ226" s="52"/>
      <c r="DA226" s="52"/>
      <c r="DB226" s="52"/>
    </row>
    <row r="227" spans="1:106" ht="12.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211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8"/>
      <c r="CV227" s="52"/>
      <c r="CW227" s="52"/>
      <c r="CX227" s="52"/>
      <c r="CY227" s="52"/>
      <c r="CZ227" s="52"/>
      <c r="DA227" s="52"/>
      <c r="DB227" s="52"/>
    </row>
    <row r="228" spans="1:106" ht="12.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211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8"/>
      <c r="CV228" s="52"/>
      <c r="CW228" s="52"/>
      <c r="CX228" s="52"/>
      <c r="CY228" s="52"/>
      <c r="CZ228" s="52"/>
      <c r="DA228" s="52"/>
      <c r="DB228" s="52"/>
    </row>
    <row r="229" spans="1:106" ht="12.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211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  <c r="CS229" s="52"/>
      <c r="CT229" s="52"/>
      <c r="CU229" s="58"/>
      <c r="CV229" s="52"/>
      <c r="CW229" s="52"/>
      <c r="CX229" s="52"/>
      <c r="CY229" s="52"/>
      <c r="CZ229" s="52"/>
      <c r="DA229" s="52"/>
      <c r="DB229" s="52"/>
    </row>
    <row r="230" spans="1:106" ht="12.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211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8"/>
      <c r="CV230" s="52"/>
      <c r="CW230" s="52"/>
      <c r="CX230" s="52"/>
      <c r="CY230" s="52"/>
      <c r="CZ230" s="52"/>
      <c r="DA230" s="52"/>
      <c r="DB230" s="52"/>
    </row>
    <row r="231" spans="1:106" ht="12.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211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8"/>
      <c r="CV231" s="52"/>
      <c r="CW231" s="52"/>
      <c r="CX231" s="52"/>
      <c r="CY231" s="52"/>
      <c r="CZ231" s="52"/>
      <c r="DA231" s="52"/>
      <c r="DB231" s="52"/>
    </row>
    <row r="232" spans="1:106" ht="12.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211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8"/>
      <c r="CV232" s="52"/>
      <c r="CW232" s="52"/>
      <c r="CX232" s="52"/>
      <c r="CY232" s="52"/>
      <c r="CZ232" s="52"/>
      <c r="DA232" s="52"/>
      <c r="DB232" s="52"/>
    </row>
    <row r="233" spans="1:106" ht="12.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211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8"/>
      <c r="CV233" s="52"/>
      <c r="CW233" s="52"/>
      <c r="CX233" s="52"/>
      <c r="CY233" s="52"/>
      <c r="CZ233" s="52"/>
      <c r="DA233" s="52"/>
      <c r="DB233" s="52"/>
    </row>
    <row r="234" spans="1:106" ht="12.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211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8"/>
      <c r="CV234" s="52"/>
      <c r="CW234" s="52"/>
      <c r="CX234" s="52"/>
      <c r="CY234" s="52"/>
      <c r="CZ234" s="52"/>
      <c r="DA234" s="52"/>
      <c r="DB234" s="52"/>
    </row>
    <row r="235" spans="1:106" ht="12.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211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8"/>
      <c r="CV235" s="52"/>
      <c r="CW235" s="52"/>
      <c r="CX235" s="52"/>
      <c r="CY235" s="52"/>
      <c r="CZ235" s="52"/>
      <c r="DA235" s="52"/>
      <c r="DB235" s="52"/>
    </row>
    <row r="236" spans="1:106" ht="12.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211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8"/>
      <c r="CV236" s="52"/>
      <c r="CW236" s="52"/>
      <c r="CX236" s="52"/>
      <c r="CY236" s="52"/>
      <c r="CZ236" s="52"/>
      <c r="DA236" s="52"/>
      <c r="DB236" s="52"/>
    </row>
    <row r="237" spans="1:106" ht="12.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211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8"/>
      <c r="CV237" s="52"/>
      <c r="CW237" s="52"/>
      <c r="CX237" s="52"/>
      <c r="CY237" s="52"/>
      <c r="CZ237" s="52"/>
      <c r="DA237" s="52"/>
      <c r="DB237" s="52"/>
    </row>
    <row r="238" spans="1:106" ht="12.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211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8"/>
      <c r="CV238" s="52"/>
      <c r="CW238" s="52"/>
      <c r="CX238" s="52"/>
      <c r="CY238" s="52"/>
      <c r="CZ238" s="52"/>
      <c r="DA238" s="52"/>
      <c r="DB238" s="52"/>
    </row>
    <row r="239" spans="1:106" ht="12.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211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8"/>
      <c r="CV239" s="52"/>
      <c r="CW239" s="52"/>
      <c r="CX239" s="52"/>
      <c r="CY239" s="52"/>
      <c r="CZ239" s="52"/>
      <c r="DA239" s="52"/>
      <c r="DB239" s="52"/>
    </row>
    <row r="240" spans="1:106" ht="12.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211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8"/>
      <c r="CV240" s="52"/>
      <c r="CW240" s="52"/>
      <c r="CX240" s="52"/>
      <c r="CY240" s="52"/>
      <c r="CZ240" s="52"/>
      <c r="DA240" s="52"/>
      <c r="DB240" s="52"/>
    </row>
    <row r="241" spans="1:106" ht="12.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211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8"/>
      <c r="CV241" s="52"/>
      <c r="CW241" s="52"/>
      <c r="CX241" s="52"/>
      <c r="CY241" s="52"/>
      <c r="CZ241" s="52"/>
      <c r="DA241" s="52"/>
      <c r="DB241" s="52"/>
    </row>
    <row r="242" spans="1:106" ht="12.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211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8"/>
      <c r="CV242" s="52"/>
      <c r="CW242" s="52"/>
      <c r="CX242" s="52"/>
      <c r="CY242" s="52"/>
      <c r="CZ242" s="52"/>
      <c r="DA242" s="52"/>
      <c r="DB242" s="52"/>
    </row>
    <row r="243" spans="1:106" ht="12.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211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8"/>
      <c r="CV243" s="52"/>
      <c r="CW243" s="52"/>
      <c r="CX243" s="52"/>
      <c r="CY243" s="52"/>
      <c r="CZ243" s="52"/>
      <c r="DA243" s="52"/>
      <c r="DB243" s="52"/>
    </row>
    <row r="244" spans="1:106" ht="12.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211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8"/>
      <c r="CV244" s="52"/>
      <c r="CW244" s="52"/>
      <c r="CX244" s="52"/>
      <c r="CY244" s="52"/>
      <c r="CZ244" s="52"/>
      <c r="DA244" s="52"/>
      <c r="DB244" s="52"/>
    </row>
    <row r="245" spans="1:106" ht="12.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211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8"/>
      <c r="CV245" s="52"/>
      <c r="CW245" s="52"/>
      <c r="CX245" s="52"/>
      <c r="CY245" s="52"/>
      <c r="CZ245" s="52"/>
      <c r="DA245" s="52"/>
      <c r="DB245" s="52"/>
    </row>
    <row r="246" spans="1:106" ht="12.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211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8"/>
      <c r="CV246" s="52"/>
      <c r="CW246" s="52"/>
      <c r="CX246" s="52"/>
      <c r="CY246" s="52"/>
      <c r="CZ246" s="52"/>
      <c r="DA246" s="52"/>
      <c r="DB246" s="52"/>
    </row>
    <row r="247" spans="1:106" ht="12.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211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8"/>
      <c r="CV247" s="52"/>
      <c r="CW247" s="52"/>
      <c r="CX247" s="52"/>
      <c r="CY247" s="52"/>
      <c r="CZ247" s="52"/>
      <c r="DA247" s="52"/>
      <c r="DB247" s="52"/>
    </row>
    <row r="248" spans="1:106" ht="12.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211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8"/>
      <c r="CV248" s="52"/>
      <c r="CW248" s="52"/>
      <c r="CX248" s="52"/>
      <c r="CY248" s="52"/>
      <c r="CZ248" s="52"/>
      <c r="DA248" s="52"/>
      <c r="DB248" s="52"/>
    </row>
    <row r="249" spans="1:106" ht="12.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211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8"/>
      <c r="CV249" s="52"/>
      <c r="CW249" s="52"/>
      <c r="CX249" s="52"/>
      <c r="CY249" s="52"/>
      <c r="CZ249" s="52"/>
      <c r="DA249" s="52"/>
      <c r="DB249" s="52"/>
    </row>
    <row r="250" spans="1:106" ht="12.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211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8"/>
      <c r="CV250" s="52"/>
      <c r="CW250" s="52"/>
      <c r="CX250" s="52"/>
      <c r="CY250" s="52"/>
      <c r="CZ250" s="52"/>
      <c r="DA250" s="52"/>
      <c r="DB250" s="52"/>
    </row>
    <row r="251" spans="1:106" ht="12.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211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8"/>
      <c r="CV251" s="52"/>
      <c r="CW251" s="52"/>
      <c r="CX251" s="52"/>
      <c r="CY251" s="52"/>
      <c r="CZ251" s="52"/>
      <c r="DA251" s="52"/>
      <c r="DB251" s="52"/>
    </row>
    <row r="252" spans="1:106" ht="12.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211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8"/>
      <c r="CV252" s="52"/>
      <c r="CW252" s="52"/>
      <c r="CX252" s="52"/>
      <c r="CY252" s="52"/>
      <c r="CZ252" s="52"/>
      <c r="DA252" s="52"/>
      <c r="DB252" s="52"/>
    </row>
    <row r="253" spans="1:106" ht="12.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211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8"/>
      <c r="CV253" s="52"/>
      <c r="CW253" s="52"/>
      <c r="CX253" s="52"/>
      <c r="CY253" s="52"/>
      <c r="CZ253" s="52"/>
      <c r="DA253" s="52"/>
      <c r="DB253" s="52"/>
    </row>
    <row r="254" spans="1:106" ht="12.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211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8"/>
      <c r="CV254" s="52"/>
      <c r="CW254" s="52"/>
      <c r="CX254" s="52"/>
      <c r="CY254" s="52"/>
      <c r="CZ254" s="52"/>
      <c r="DA254" s="52"/>
      <c r="DB254" s="52"/>
    </row>
    <row r="255" spans="1:106" ht="12.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211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8"/>
      <c r="CV255" s="52"/>
      <c r="CW255" s="52"/>
      <c r="CX255" s="52"/>
      <c r="CY255" s="52"/>
      <c r="CZ255" s="52"/>
      <c r="DA255" s="52"/>
      <c r="DB255" s="52"/>
    </row>
    <row r="256" spans="1:106" ht="12.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211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8"/>
      <c r="CV256" s="52"/>
      <c r="CW256" s="52"/>
      <c r="CX256" s="52"/>
      <c r="CY256" s="52"/>
      <c r="CZ256" s="52"/>
      <c r="DA256" s="52"/>
      <c r="DB256" s="52"/>
    </row>
    <row r="257" spans="1:106" ht="12.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211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8"/>
      <c r="CV257" s="52"/>
      <c r="CW257" s="52"/>
      <c r="CX257" s="52"/>
      <c r="CY257" s="52"/>
      <c r="CZ257" s="52"/>
      <c r="DA257" s="52"/>
      <c r="DB257" s="52"/>
    </row>
    <row r="258" spans="1:106" ht="12.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211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52"/>
      <c r="CU258" s="58"/>
      <c r="CV258" s="52"/>
      <c r="CW258" s="52"/>
      <c r="CX258" s="52"/>
      <c r="CY258" s="52"/>
      <c r="CZ258" s="52"/>
      <c r="DA258" s="52"/>
      <c r="DB258" s="52"/>
    </row>
    <row r="259" spans="1:106" ht="12.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211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8"/>
      <c r="CV259" s="52"/>
      <c r="CW259" s="52"/>
      <c r="CX259" s="52"/>
      <c r="CY259" s="52"/>
      <c r="CZ259" s="52"/>
      <c r="DA259" s="52"/>
      <c r="DB259" s="52"/>
    </row>
    <row r="260" spans="1:106" ht="12.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211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8"/>
      <c r="CV260" s="52"/>
      <c r="CW260" s="52"/>
      <c r="CX260" s="52"/>
      <c r="CY260" s="52"/>
      <c r="CZ260" s="52"/>
      <c r="DA260" s="52"/>
      <c r="DB260" s="52"/>
    </row>
    <row r="261" spans="1:106" ht="12.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211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8"/>
      <c r="CV261" s="52"/>
      <c r="CW261" s="52"/>
      <c r="CX261" s="52"/>
      <c r="CY261" s="52"/>
      <c r="CZ261" s="52"/>
      <c r="DA261" s="52"/>
      <c r="DB261" s="52"/>
    </row>
    <row r="262" spans="1:106" ht="12.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211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8"/>
      <c r="CV262" s="52"/>
      <c r="CW262" s="52"/>
      <c r="CX262" s="52"/>
      <c r="CY262" s="52"/>
      <c r="CZ262" s="52"/>
      <c r="DA262" s="52"/>
      <c r="DB262" s="52"/>
    </row>
    <row r="263" spans="1:106" ht="12.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211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8"/>
      <c r="CV263" s="52"/>
      <c r="CW263" s="52"/>
      <c r="CX263" s="52"/>
      <c r="CY263" s="52"/>
      <c r="CZ263" s="52"/>
      <c r="DA263" s="52"/>
      <c r="DB263" s="52"/>
    </row>
    <row r="264" spans="1:106" ht="12.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211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8"/>
      <c r="CV264" s="52"/>
      <c r="CW264" s="52"/>
      <c r="CX264" s="52"/>
      <c r="CY264" s="52"/>
      <c r="CZ264" s="52"/>
      <c r="DA264" s="52"/>
      <c r="DB264" s="52"/>
    </row>
    <row r="265" spans="1:106" ht="12.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211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8"/>
      <c r="CV265" s="52"/>
      <c r="CW265" s="52"/>
      <c r="CX265" s="52"/>
      <c r="CY265" s="52"/>
      <c r="CZ265" s="52"/>
      <c r="DA265" s="52"/>
      <c r="DB265" s="52"/>
    </row>
    <row r="266" spans="1:106" ht="12.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211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8"/>
      <c r="CV266" s="52"/>
      <c r="CW266" s="52"/>
      <c r="CX266" s="52"/>
      <c r="CY266" s="52"/>
      <c r="CZ266" s="52"/>
      <c r="DA266" s="52"/>
      <c r="DB266" s="52"/>
    </row>
    <row r="267" spans="1:106" ht="12.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211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8"/>
      <c r="CV267" s="52"/>
      <c r="CW267" s="52"/>
      <c r="CX267" s="52"/>
      <c r="CY267" s="52"/>
      <c r="CZ267" s="52"/>
      <c r="DA267" s="52"/>
      <c r="DB267" s="52"/>
    </row>
    <row r="268" spans="1:106" ht="12.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211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8"/>
      <c r="CV268" s="52"/>
      <c r="CW268" s="52"/>
      <c r="CX268" s="52"/>
      <c r="CY268" s="52"/>
      <c r="CZ268" s="52"/>
      <c r="DA268" s="52"/>
      <c r="DB268" s="52"/>
    </row>
    <row r="269" spans="1:106" ht="12.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211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8"/>
      <c r="CV269" s="52"/>
      <c r="CW269" s="52"/>
      <c r="CX269" s="52"/>
      <c r="CY269" s="52"/>
      <c r="CZ269" s="52"/>
      <c r="DA269" s="52"/>
      <c r="DB269" s="52"/>
    </row>
    <row r="270" spans="1:106" ht="12.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211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8"/>
      <c r="CV270" s="52"/>
      <c r="CW270" s="52"/>
      <c r="CX270" s="52"/>
      <c r="CY270" s="52"/>
      <c r="CZ270" s="52"/>
      <c r="DA270" s="52"/>
      <c r="DB270" s="52"/>
    </row>
    <row r="271" spans="1:106" ht="12.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211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8"/>
      <c r="CV271" s="52"/>
      <c r="CW271" s="52"/>
      <c r="CX271" s="52"/>
      <c r="CY271" s="52"/>
      <c r="CZ271" s="52"/>
      <c r="DA271" s="52"/>
      <c r="DB271" s="52"/>
    </row>
    <row r="272" spans="1:106" ht="12.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211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8"/>
      <c r="CV272" s="52"/>
      <c r="CW272" s="52"/>
      <c r="CX272" s="52"/>
      <c r="CY272" s="52"/>
      <c r="CZ272" s="52"/>
      <c r="DA272" s="52"/>
      <c r="DB272" s="52"/>
    </row>
    <row r="273" spans="1:106" ht="12.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211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8"/>
      <c r="CV273" s="52"/>
      <c r="CW273" s="52"/>
      <c r="CX273" s="52"/>
      <c r="CY273" s="52"/>
      <c r="CZ273" s="52"/>
      <c r="DA273" s="52"/>
      <c r="DB273" s="52"/>
    </row>
    <row r="274" spans="1:106" ht="12.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211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8"/>
      <c r="CV274" s="52"/>
      <c r="CW274" s="52"/>
      <c r="CX274" s="52"/>
      <c r="CY274" s="52"/>
      <c r="CZ274" s="52"/>
      <c r="DA274" s="52"/>
      <c r="DB274" s="52"/>
    </row>
    <row r="275" spans="1:106" ht="12.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211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8"/>
      <c r="CV275" s="52"/>
      <c r="CW275" s="52"/>
      <c r="CX275" s="52"/>
      <c r="CY275" s="52"/>
      <c r="CZ275" s="52"/>
      <c r="DA275" s="52"/>
      <c r="DB275" s="52"/>
    </row>
    <row r="276" spans="1:106" ht="12.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211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8"/>
      <c r="CV276" s="52"/>
      <c r="CW276" s="52"/>
      <c r="CX276" s="52"/>
      <c r="CY276" s="52"/>
      <c r="CZ276" s="52"/>
      <c r="DA276" s="52"/>
      <c r="DB276" s="52"/>
    </row>
    <row r="277" spans="1:106" ht="12.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211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8"/>
      <c r="CV277" s="52"/>
      <c r="CW277" s="52"/>
      <c r="CX277" s="52"/>
      <c r="CY277" s="52"/>
      <c r="CZ277" s="52"/>
      <c r="DA277" s="52"/>
      <c r="DB277" s="52"/>
    </row>
    <row r="278" spans="1:106" ht="12.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211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8"/>
      <c r="CV278" s="52"/>
      <c r="CW278" s="52"/>
      <c r="CX278" s="52"/>
      <c r="CY278" s="52"/>
      <c r="CZ278" s="52"/>
      <c r="DA278" s="52"/>
      <c r="DB278" s="52"/>
    </row>
    <row r="279" spans="1:106" ht="12.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211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8"/>
      <c r="CV279" s="52"/>
      <c r="CW279" s="52"/>
      <c r="CX279" s="52"/>
      <c r="CY279" s="52"/>
      <c r="CZ279" s="52"/>
      <c r="DA279" s="52"/>
      <c r="DB279" s="52"/>
    </row>
    <row r="280" spans="1:106" ht="12.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211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8"/>
      <c r="CV280" s="52"/>
      <c r="CW280" s="52"/>
      <c r="CX280" s="52"/>
      <c r="CY280" s="52"/>
      <c r="CZ280" s="52"/>
      <c r="DA280" s="52"/>
      <c r="DB280" s="52"/>
    </row>
    <row r="281" spans="1:106" ht="12.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211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8"/>
      <c r="CV281" s="52"/>
      <c r="CW281" s="52"/>
      <c r="CX281" s="52"/>
      <c r="CY281" s="52"/>
      <c r="CZ281" s="52"/>
      <c r="DA281" s="52"/>
      <c r="DB281" s="52"/>
    </row>
    <row r="282" spans="1:106" ht="12.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211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8"/>
      <c r="CV282" s="52"/>
      <c r="CW282" s="52"/>
      <c r="CX282" s="52"/>
      <c r="CY282" s="52"/>
      <c r="CZ282" s="52"/>
      <c r="DA282" s="52"/>
      <c r="DB282" s="52"/>
    </row>
    <row r="283" spans="1:106" ht="12.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211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8"/>
      <c r="CV283" s="52"/>
      <c r="CW283" s="52"/>
      <c r="CX283" s="52"/>
      <c r="CY283" s="52"/>
      <c r="CZ283" s="52"/>
      <c r="DA283" s="52"/>
      <c r="DB283" s="52"/>
    </row>
    <row r="284" spans="1:106" ht="12.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211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8"/>
      <c r="CV284" s="52"/>
      <c r="CW284" s="52"/>
      <c r="CX284" s="52"/>
      <c r="CY284" s="52"/>
      <c r="CZ284" s="52"/>
      <c r="DA284" s="52"/>
      <c r="DB284" s="52"/>
    </row>
    <row r="285" spans="1:106" ht="12.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211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8"/>
      <c r="CV285" s="52"/>
      <c r="CW285" s="52"/>
      <c r="CX285" s="52"/>
      <c r="CY285" s="52"/>
      <c r="CZ285" s="52"/>
      <c r="DA285" s="52"/>
      <c r="DB285" s="52"/>
    </row>
    <row r="286" spans="1:106" ht="12.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211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8"/>
      <c r="CV286" s="52"/>
      <c r="CW286" s="52"/>
      <c r="CX286" s="52"/>
      <c r="CY286" s="52"/>
      <c r="CZ286" s="52"/>
      <c r="DA286" s="52"/>
      <c r="DB286" s="52"/>
    </row>
    <row r="287" spans="1:106" ht="12.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211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8"/>
      <c r="CV287" s="52"/>
      <c r="CW287" s="52"/>
      <c r="CX287" s="52"/>
      <c r="CY287" s="52"/>
      <c r="CZ287" s="52"/>
      <c r="DA287" s="52"/>
      <c r="DB287" s="52"/>
    </row>
    <row r="288" spans="1:106" ht="12.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211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8"/>
      <c r="CV288" s="52"/>
      <c r="CW288" s="52"/>
      <c r="CX288" s="52"/>
      <c r="CY288" s="52"/>
      <c r="CZ288" s="52"/>
      <c r="DA288" s="52"/>
      <c r="DB288" s="52"/>
    </row>
    <row r="289" spans="1:106" ht="12.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211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8"/>
      <c r="CV289" s="52"/>
      <c r="CW289" s="52"/>
      <c r="CX289" s="52"/>
      <c r="CY289" s="52"/>
      <c r="CZ289" s="52"/>
      <c r="DA289" s="52"/>
      <c r="DB289" s="52"/>
    </row>
    <row r="290" spans="1:106" ht="12.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211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8"/>
      <c r="CV290" s="52"/>
      <c r="CW290" s="52"/>
      <c r="CX290" s="52"/>
      <c r="CY290" s="52"/>
      <c r="CZ290" s="52"/>
      <c r="DA290" s="52"/>
      <c r="DB290" s="52"/>
    </row>
    <row r="291" spans="1:106" ht="12.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211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8"/>
      <c r="CV291" s="52"/>
      <c r="CW291" s="52"/>
      <c r="CX291" s="52"/>
      <c r="CY291" s="52"/>
      <c r="CZ291" s="52"/>
      <c r="DA291" s="52"/>
      <c r="DB291" s="52"/>
    </row>
    <row r="292" spans="1:106" ht="12.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211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8"/>
      <c r="CV292" s="52"/>
      <c r="CW292" s="52"/>
      <c r="CX292" s="52"/>
      <c r="CY292" s="52"/>
      <c r="CZ292" s="52"/>
      <c r="DA292" s="52"/>
      <c r="DB292" s="52"/>
    </row>
    <row r="293" spans="1:106" ht="12.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211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8"/>
      <c r="CV293" s="52"/>
      <c r="CW293" s="52"/>
      <c r="CX293" s="52"/>
      <c r="CY293" s="52"/>
      <c r="CZ293" s="52"/>
      <c r="DA293" s="52"/>
      <c r="DB293" s="52"/>
    </row>
    <row r="294" spans="1:106" ht="12.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211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8"/>
      <c r="CV294" s="52"/>
      <c r="CW294" s="52"/>
      <c r="CX294" s="52"/>
      <c r="CY294" s="52"/>
      <c r="CZ294" s="52"/>
      <c r="DA294" s="52"/>
      <c r="DB294" s="52"/>
    </row>
    <row r="295" spans="1:106" ht="12.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211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8"/>
      <c r="CV295" s="52"/>
      <c r="CW295" s="52"/>
      <c r="CX295" s="52"/>
      <c r="CY295" s="52"/>
      <c r="CZ295" s="52"/>
      <c r="DA295" s="52"/>
      <c r="DB295" s="52"/>
    </row>
    <row r="296" spans="1:106" ht="12.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211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8"/>
      <c r="CV296" s="52"/>
      <c r="CW296" s="52"/>
      <c r="CX296" s="52"/>
      <c r="CY296" s="52"/>
      <c r="CZ296" s="52"/>
      <c r="DA296" s="52"/>
      <c r="DB296" s="52"/>
    </row>
    <row r="297" spans="1:106" ht="12.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211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8"/>
      <c r="CV297" s="52"/>
      <c r="CW297" s="52"/>
      <c r="CX297" s="52"/>
      <c r="CY297" s="52"/>
      <c r="CZ297" s="52"/>
      <c r="DA297" s="52"/>
      <c r="DB297" s="52"/>
    </row>
    <row r="298" spans="1:106" ht="12.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211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8"/>
      <c r="CV298" s="52"/>
      <c r="CW298" s="52"/>
      <c r="CX298" s="52"/>
      <c r="CY298" s="52"/>
      <c r="CZ298" s="52"/>
      <c r="DA298" s="52"/>
      <c r="DB298" s="52"/>
    </row>
    <row r="299" spans="1:106" ht="12.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211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8"/>
      <c r="CV299" s="52"/>
      <c r="CW299" s="52"/>
      <c r="CX299" s="52"/>
      <c r="CY299" s="52"/>
      <c r="CZ299" s="52"/>
      <c r="DA299" s="52"/>
      <c r="DB299" s="52"/>
    </row>
    <row r="300" spans="1:106" ht="12.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211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8"/>
      <c r="CV300" s="52"/>
      <c r="CW300" s="52"/>
      <c r="CX300" s="52"/>
      <c r="CY300" s="52"/>
      <c r="CZ300" s="52"/>
      <c r="DA300" s="52"/>
      <c r="DB300" s="52"/>
    </row>
    <row r="301" spans="1:106" ht="12.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211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8"/>
      <c r="CV301" s="52"/>
      <c r="CW301" s="52"/>
      <c r="CX301" s="52"/>
      <c r="CY301" s="52"/>
      <c r="CZ301" s="52"/>
      <c r="DA301" s="52"/>
      <c r="DB301" s="52"/>
    </row>
    <row r="302" spans="1:106" ht="12.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211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8"/>
      <c r="CV302" s="52"/>
      <c r="CW302" s="52"/>
      <c r="CX302" s="52"/>
      <c r="CY302" s="52"/>
      <c r="CZ302" s="52"/>
      <c r="DA302" s="52"/>
      <c r="DB302" s="52"/>
    </row>
    <row r="303" spans="1:106" ht="12.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211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2"/>
      <c r="CQ303" s="52"/>
      <c r="CR303" s="52"/>
      <c r="CS303" s="52"/>
      <c r="CT303" s="52"/>
      <c r="CU303" s="58"/>
      <c r="CV303" s="52"/>
      <c r="CW303" s="52"/>
      <c r="CX303" s="52"/>
      <c r="CY303" s="52"/>
      <c r="CZ303" s="52"/>
      <c r="DA303" s="52"/>
      <c r="DB303" s="52"/>
    </row>
    <row r="304" spans="1:106" ht="12.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211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2"/>
      <c r="CQ304" s="52"/>
      <c r="CR304" s="52"/>
      <c r="CS304" s="52"/>
      <c r="CT304" s="52"/>
      <c r="CU304" s="58"/>
      <c r="CV304" s="52"/>
      <c r="CW304" s="52"/>
      <c r="CX304" s="52"/>
      <c r="CY304" s="52"/>
      <c r="CZ304" s="52"/>
      <c r="DA304" s="52"/>
      <c r="DB304" s="52"/>
    </row>
    <row r="305" spans="1:106" ht="12.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211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  <c r="CS305" s="52"/>
      <c r="CT305" s="52"/>
      <c r="CU305" s="58"/>
      <c r="CV305" s="52"/>
      <c r="CW305" s="52"/>
      <c r="CX305" s="52"/>
      <c r="CY305" s="52"/>
      <c r="CZ305" s="52"/>
      <c r="DA305" s="52"/>
      <c r="DB305" s="52"/>
    </row>
    <row r="306" spans="1:106" ht="12.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211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2"/>
      <c r="CQ306" s="52"/>
      <c r="CR306" s="52"/>
      <c r="CS306" s="52"/>
      <c r="CT306" s="52"/>
      <c r="CU306" s="58"/>
      <c r="CV306" s="52"/>
      <c r="CW306" s="52"/>
      <c r="CX306" s="52"/>
      <c r="CY306" s="52"/>
      <c r="CZ306" s="52"/>
      <c r="DA306" s="52"/>
      <c r="DB306" s="52"/>
    </row>
    <row r="307" spans="1:106" ht="12.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211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2"/>
      <c r="CQ307" s="52"/>
      <c r="CR307" s="52"/>
      <c r="CS307" s="52"/>
      <c r="CT307" s="52"/>
      <c r="CU307" s="58"/>
      <c r="CV307" s="52"/>
      <c r="CW307" s="52"/>
      <c r="CX307" s="52"/>
      <c r="CY307" s="52"/>
      <c r="CZ307" s="52"/>
      <c r="DA307" s="52"/>
      <c r="DB307" s="52"/>
    </row>
    <row r="308" spans="1:106" ht="12.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211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  <c r="CS308" s="52"/>
      <c r="CT308" s="52"/>
      <c r="CU308" s="58"/>
      <c r="CV308" s="52"/>
      <c r="CW308" s="52"/>
      <c r="CX308" s="52"/>
      <c r="CY308" s="52"/>
      <c r="CZ308" s="52"/>
      <c r="DA308" s="52"/>
      <c r="DB308" s="52"/>
    </row>
    <row r="309" spans="1:106" ht="12.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211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2"/>
      <c r="CQ309" s="52"/>
      <c r="CR309" s="52"/>
      <c r="CS309" s="52"/>
      <c r="CT309" s="52"/>
      <c r="CU309" s="58"/>
      <c r="CV309" s="52"/>
      <c r="CW309" s="52"/>
      <c r="CX309" s="52"/>
      <c r="CY309" s="52"/>
      <c r="CZ309" s="52"/>
      <c r="DA309" s="52"/>
      <c r="DB309" s="52"/>
    </row>
    <row r="310" spans="1:106" ht="12.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211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2"/>
      <c r="CQ310" s="52"/>
      <c r="CR310" s="52"/>
      <c r="CS310" s="52"/>
      <c r="CT310" s="52"/>
      <c r="CU310" s="58"/>
      <c r="CV310" s="52"/>
      <c r="CW310" s="52"/>
      <c r="CX310" s="52"/>
      <c r="CY310" s="52"/>
      <c r="CZ310" s="52"/>
      <c r="DA310" s="52"/>
      <c r="DB310" s="52"/>
    </row>
    <row r="311" spans="1:106" ht="12.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211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  <c r="CS311" s="52"/>
      <c r="CT311" s="52"/>
      <c r="CU311" s="58"/>
      <c r="CV311" s="52"/>
      <c r="CW311" s="52"/>
      <c r="CX311" s="52"/>
      <c r="CY311" s="52"/>
      <c r="CZ311" s="52"/>
      <c r="DA311" s="52"/>
      <c r="DB311" s="52"/>
    </row>
    <row r="312" spans="1:106" ht="12.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211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2"/>
      <c r="CQ312" s="52"/>
      <c r="CR312" s="52"/>
      <c r="CS312" s="52"/>
      <c r="CT312" s="52"/>
      <c r="CU312" s="58"/>
      <c r="CV312" s="52"/>
      <c r="CW312" s="52"/>
      <c r="CX312" s="52"/>
      <c r="CY312" s="52"/>
      <c r="CZ312" s="52"/>
      <c r="DA312" s="52"/>
      <c r="DB312" s="52"/>
    </row>
    <row r="313" spans="1:106" ht="12.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211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2"/>
      <c r="CQ313" s="52"/>
      <c r="CR313" s="52"/>
      <c r="CS313" s="52"/>
      <c r="CT313" s="52"/>
      <c r="CU313" s="58"/>
      <c r="CV313" s="52"/>
      <c r="CW313" s="52"/>
      <c r="CX313" s="52"/>
      <c r="CY313" s="52"/>
      <c r="CZ313" s="52"/>
      <c r="DA313" s="52"/>
      <c r="DB313" s="52"/>
    </row>
    <row r="314" spans="1:106" ht="12.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211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  <c r="CS314" s="52"/>
      <c r="CT314" s="52"/>
      <c r="CU314" s="58"/>
      <c r="CV314" s="52"/>
      <c r="CW314" s="52"/>
      <c r="CX314" s="52"/>
      <c r="CY314" s="52"/>
      <c r="CZ314" s="52"/>
      <c r="DA314" s="52"/>
      <c r="DB314" s="52"/>
    </row>
    <row r="315" spans="1:106" ht="12.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211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2"/>
      <c r="CQ315" s="52"/>
      <c r="CR315" s="52"/>
      <c r="CS315" s="52"/>
      <c r="CT315" s="52"/>
      <c r="CU315" s="58"/>
      <c r="CV315" s="52"/>
      <c r="CW315" s="52"/>
      <c r="CX315" s="52"/>
      <c r="CY315" s="52"/>
      <c r="CZ315" s="52"/>
      <c r="DA315" s="52"/>
      <c r="DB315" s="52"/>
    </row>
    <row r="316" spans="1:106" ht="12.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211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2"/>
      <c r="CQ316" s="52"/>
      <c r="CR316" s="52"/>
      <c r="CS316" s="52"/>
      <c r="CT316" s="52"/>
      <c r="CU316" s="58"/>
      <c r="CV316" s="52"/>
      <c r="CW316" s="52"/>
      <c r="CX316" s="52"/>
      <c r="CY316" s="52"/>
      <c r="CZ316" s="52"/>
      <c r="DA316" s="52"/>
      <c r="DB316" s="52"/>
    </row>
    <row r="317" spans="1:106" ht="12.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211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8"/>
      <c r="CV317" s="52"/>
      <c r="CW317" s="52"/>
      <c r="CX317" s="52"/>
      <c r="CY317" s="52"/>
      <c r="CZ317" s="52"/>
      <c r="DA317" s="52"/>
      <c r="DB317" s="52"/>
    </row>
    <row r="318" spans="1:106" ht="12.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211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  <c r="CS318" s="52"/>
      <c r="CT318" s="52"/>
      <c r="CU318" s="58"/>
      <c r="CV318" s="52"/>
      <c r="CW318" s="52"/>
      <c r="CX318" s="52"/>
      <c r="CY318" s="52"/>
      <c r="CZ318" s="52"/>
      <c r="DA318" s="52"/>
      <c r="DB318" s="52"/>
    </row>
    <row r="319" spans="1:106" ht="12.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211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8"/>
      <c r="CV319" s="52"/>
      <c r="CW319" s="52"/>
      <c r="CX319" s="52"/>
      <c r="CY319" s="52"/>
      <c r="CZ319" s="52"/>
      <c r="DA319" s="52"/>
      <c r="DB319" s="52"/>
    </row>
    <row r="320" spans="1:106" ht="12.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211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8"/>
      <c r="CV320" s="52"/>
      <c r="CW320" s="52"/>
      <c r="CX320" s="52"/>
      <c r="CY320" s="52"/>
      <c r="CZ320" s="52"/>
      <c r="DA320" s="52"/>
      <c r="DB320" s="52"/>
    </row>
    <row r="321" spans="1:106" ht="12.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211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  <c r="CS321" s="52"/>
      <c r="CT321" s="52"/>
      <c r="CU321" s="58"/>
      <c r="CV321" s="52"/>
      <c r="CW321" s="52"/>
      <c r="CX321" s="52"/>
      <c r="CY321" s="52"/>
      <c r="CZ321" s="52"/>
      <c r="DA321" s="52"/>
      <c r="DB321" s="52"/>
    </row>
    <row r="322" spans="1:106" ht="12.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211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  <c r="CS322" s="52"/>
      <c r="CT322" s="52"/>
      <c r="CU322" s="58"/>
      <c r="CV322" s="52"/>
      <c r="CW322" s="52"/>
      <c r="CX322" s="52"/>
      <c r="CY322" s="52"/>
      <c r="CZ322" s="52"/>
      <c r="DA322" s="52"/>
      <c r="DB322" s="52"/>
    </row>
    <row r="323" spans="1:106" ht="12.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211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8"/>
      <c r="CV323" s="52"/>
      <c r="CW323" s="52"/>
      <c r="CX323" s="52"/>
      <c r="CY323" s="52"/>
      <c r="CZ323" s="52"/>
      <c r="DA323" s="52"/>
      <c r="DB323" s="52"/>
    </row>
    <row r="324" spans="1:106" ht="12.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211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2"/>
      <c r="CQ324" s="52"/>
      <c r="CR324" s="52"/>
      <c r="CS324" s="52"/>
      <c r="CT324" s="52"/>
      <c r="CU324" s="58"/>
      <c r="CV324" s="52"/>
      <c r="CW324" s="52"/>
      <c r="CX324" s="52"/>
      <c r="CY324" s="52"/>
      <c r="CZ324" s="52"/>
      <c r="DA324" s="52"/>
      <c r="DB324" s="52"/>
    </row>
    <row r="325" spans="1:106" ht="12.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211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2"/>
      <c r="CQ325" s="52"/>
      <c r="CR325" s="52"/>
      <c r="CS325" s="52"/>
      <c r="CT325" s="52"/>
      <c r="CU325" s="58"/>
      <c r="CV325" s="52"/>
      <c r="CW325" s="52"/>
      <c r="CX325" s="52"/>
      <c r="CY325" s="52"/>
      <c r="CZ325" s="52"/>
      <c r="DA325" s="52"/>
      <c r="DB325" s="52"/>
    </row>
    <row r="326" spans="1:106" ht="12.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211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  <c r="CS326" s="52"/>
      <c r="CT326" s="52"/>
      <c r="CU326" s="58"/>
      <c r="CV326" s="52"/>
      <c r="CW326" s="52"/>
      <c r="CX326" s="52"/>
      <c r="CY326" s="52"/>
      <c r="CZ326" s="52"/>
      <c r="DA326" s="52"/>
      <c r="DB326" s="52"/>
    </row>
    <row r="327" spans="1:106" ht="12.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211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8"/>
      <c r="CV327" s="52"/>
      <c r="CW327" s="52"/>
      <c r="CX327" s="52"/>
      <c r="CY327" s="52"/>
      <c r="CZ327" s="52"/>
      <c r="DA327" s="52"/>
      <c r="DB327" s="52"/>
    </row>
    <row r="328" spans="1:106" ht="12.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211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  <c r="CS328" s="52"/>
      <c r="CT328" s="52"/>
      <c r="CU328" s="58"/>
      <c r="CV328" s="52"/>
      <c r="CW328" s="52"/>
      <c r="CX328" s="52"/>
      <c r="CY328" s="52"/>
      <c r="CZ328" s="52"/>
      <c r="DA328" s="52"/>
      <c r="DB328" s="52"/>
    </row>
    <row r="329" spans="1:106" ht="12.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211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8"/>
      <c r="CV329" s="52"/>
      <c r="CW329" s="52"/>
      <c r="CX329" s="52"/>
      <c r="CY329" s="52"/>
      <c r="CZ329" s="52"/>
      <c r="DA329" s="52"/>
      <c r="DB329" s="52"/>
    </row>
    <row r="330" spans="1:106" ht="12.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211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52"/>
      <c r="CU330" s="58"/>
      <c r="CV330" s="52"/>
      <c r="CW330" s="52"/>
      <c r="CX330" s="52"/>
      <c r="CY330" s="52"/>
      <c r="CZ330" s="52"/>
      <c r="DA330" s="52"/>
      <c r="DB330" s="52"/>
    </row>
    <row r="331" spans="1:106" ht="12.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211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52"/>
      <c r="CU331" s="58"/>
      <c r="CV331" s="52"/>
      <c r="CW331" s="52"/>
      <c r="CX331" s="52"/>
      <c r="CY331" s="52"/>
      <c r="CZ331" s="52"/>
      <c r="DA331" s="52"/>
      <c r="DB331" s="52"/>
    </row>
    <row r="332" spans="1:106" ht="12.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211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52"/>
      <c r="CU332" s="58"/>
      <c r="CV332" s="52"/>
      <c r="CW332" s="52"/>
      <c r="CX332" s="52"/>
      <c r="CY332" s="52"/>
      <c r="CZ332" s="52"/>
      <c r="DA332" s="52"/>
      <c r="DB332" s="52"/>
    </row>
    <row r="333" spans="1:106" ht="12.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211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52"/>
      <c r="CU333" s="58"/>
      <c r="CV333" s="52"/>
      <c r="CW333" s="52"/>
      <c r="CX333" s="52"/>
      <c r="CY333" s="52"/>
      <c r="CZ333" s="52"/>
      <c r="DA333" s="52"/>
      <c r="DB333" s="52"/>
    </row>
    <row r="334" spans="1:106" ht="12.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211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52"/>
      <c r="CU334" s="58"/>
      <c r="CV334" s="52"/>
      <c r="CW334" s="52"/>
      <c r="CX334" s="52"/>
      <c r="CY334" s="52"/>
      <c r="CZ334" s="52"/>
      <c r="DA334" s="52"/>
      <c r="DB334" s="52"/>
    </row>
    <row r="335" spans="1:106" ht="12.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211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52"/>
      <c r="CU335" s="58"/>
      <c r="CV335" s="52"/>
      <c r="CW335" s="52"/>
      <c r="CX335" s="52"/>
      <c r="CY335" s="52"/>
      <c r="CZ335" s="52"/>
      <c r="DA335" s="52"/>
      <c r="DB335" s="52"/>
    </row>
    <row r="336" spans="1:106" ht="12.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211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8"/>
      <c r="CV336" s="52"/>
      <c r="CW336" s="52"/>
      <c r="CX336" s="52"/>
      <c r="CY336" s="52"/>
      <c r="CZ336" s="52"/>
      <c r="DA336" s="52"/>
      <c r="DB336" s="52"/>
    </row>
    <row r="337" spans="1:106" ht="12.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211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52"/>
      <c r="CU337" s="58"/>
      <c r="CV337" s="52"/>
      <c r="CW337" s="52"/>
      <c r="CX337" s="52"/>
      <c r="CY337" s="52"/>
      <c r="CZ337" s="52"/>
      <c r="DA337" s="52"/>
      <c r="DB337" s="52"/>
    </row>
    <row r="338" spans="1:106" ht="12.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211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8"/>
      <c r="CV338" s="52"/>
      <c r="CW338" s="52"/>
      <c r="CX338" s="52"/>
      <c r="CY338" s="52"/>
      <c r="CZ338" s="52"/>
      <c r="DA338" s="52"/>
      <c r="DB338" s="52"/>
    </row>
    <row r="339" spans="1:106" ht="12.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211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52"/>
      <c r="CU339" s="58"/>
      <c r="CV339" s="52"/>
      <c r="CW339" s="52"/>
      <c r="CX339" s="52"/>
      <c r="CY339" s="52"/>
      <c r="CZ339" s="52"/>
      <c r="DA339" s="52"/>
      <c r="DB339" s="52"/>
    </row>
    <row r="340" spans="1:106" ht="12.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211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8"/>
      <c r="CV340" s="52"/>
      <c r="CW340" s="52"/>
      <c r="CX340" s="52"/>
      <c r="CY340" s="52"/>
      <c r="CZ340" s="52"/>
      <c r="DA340" s="52"/>
      <c r="DB340" s="52"/>
    </row>
    <row r="341" spans="1:106" ht="12.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211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  <c r="CS341" s="52"/>
      <c r="CT341" s="52"/>
      <c r="CU341" s="58"/>
      <c r="CV341" s="52"/>
      <c r="CW341" s="52"/>
      <c r="CX341" s="52"/>
      <c r="CY341" s="52"/>
      <c r="CZ341" s="52"/>
      <c r="DA341" s="52"/>
      <c r="DB341" s="52"/>
    </row>
    <row r="342" spans="1:106" ht="12.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211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2"/>
      <c r="CQ342" s="52"/>
      <c r="CR342" s="52"/>
      <c r="CS342" s="52"/>
      <c r="CT342" s="52"/>
      <c r="CU342" s="58"/>
      <c r="CV342" s="52"/>
      <c r="CW342" s="52"/>
      <c r="CX342" s="52"/>
      <c r="CY342" s="52"/>
      <c r="CZ342" s="52"/>
      <c r="DA342" s="52"/>
      <c r="DB342" s="52"/>
    </row>
    <row r="343" spans="1:106" ht="12.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211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  <c r="CS343" s="52"/>
      <c r="CT343" s="52"/>
      <c r="CU343" s="58"/>
      <c r="CV343" s="52"/>
      <c r="CW343" s="52"/>
      <c r="CX343" s="52"/>
      <c r="CY343" s="52"/>
      <c r="CZ343" s="52"/>
      <c r="DA343" s="52"/>
      <c r="DB343" s="52"/>
    </row>
    <row r="344" spans="1:106" ht="12.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211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8"/>
      <c r="CV344" s="52"/>
      <c r="CW344" s="52"/>
      <c r="CX344" s="52"/>
      <c r="CY344" s="52"/>
      <c r="CZ344" s="52"/>
      <c r="DA344" s="52"/>
      <c r="DB344" s="52"/>
    </row>
    <row r="345" spans="1:106" ht="12.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211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2"/>
      <c r="CQ345" s="52"/>
      <c r="CR345" s="52"/>
      <c r="CS345" s="52"/>
      <c r="CT345" s="52"/>
      <c r="CU345" s="58"/>
      <c r="CV345" s="52"/>
      <c r="CW345" s="52"/>
      <c r="CX345" s="52"/>
      <c r="CY345" s="52"/>
      <c r="CZ345" s="52"/>
      <c r="DA345" s="52"/>
      <c r="DB345" s="52"/>
    </row>
    <row r="346" spans="1:106" ht="12.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211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2"/>
      <c r="CQ346" s="52"/>
      <c r="CR346" s="52"/>
      <c r="CS346" s="52"/>
      <c r="CT346" s="52"/>
      <c r="CU346" s="58"/>
      <c r="CV346" s="52"/>
      <c r="CW346" s="52"/>
      <c r="CX346" s="52"/>
      <c r="CY346" s="52"/>
      <c r="CZ346" s="52"/>
      <c r="DA346" s="52"/>
      <c r="DB346" s="52"/>
    </row>
    <row r="347" spans="1:106" ht="12.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211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8"/>
      <c r="CV347" s="52"/>
      <c r="CW347" s="52"/>
      <c r="CX347" s="52"/>
      <c r="CY347" s="52"/>
      <c r="CZ347" s="52"/>
      <c r="DA347" s="52"/>
      <c r="DB347" s="52"/>
    </row>
    <row r="348" spans="1:106" ht="12.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211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2"/>
      <c r="CQ348" s="52"/>
      <c r="CR348" s="52"/>
      <c r="CS348" s="52"/>
      <c r="CT348" s="52"/>
      <c r="CU348" s="58"/>
      <c r="CV348" s="52"/>
      <c r="CW348" s="52"/>
      <c r="CX348" s="52"/>
      <c r="CY348" s="52"/>
      <c r="CZ348" s="52"/>
      <c r="DA348" s="52"/>
      <c r="DB348" s="52"/>
    </row>
    <row r="349" spans="1:106" ht="12.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211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2"/>
      <c r="CQ349" s="52"/>
      <c r="CR349" s="52"/>
      <c r="CS349" s="52"/>
      <c r="CT349" s="52"/>
      <c r="CU349" s="58"/>
      <c r="CV349" s="52"/>
      <c r="CW349" s="52"/>
      <c r="CX349" s="52"/>
      <c r="CY349" s="52"/>
      <c r="CZ349" s="52"/>
      <c r="DA349" s="52"/>
      <c r="DB349" s="52"/>
    </row>
    <row r="350" spans="1:106" ht="12.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211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8"/>
      <c r="CV350" s="52"/>
      <c r="CW350" s="52"/>
      <c r="CX350" s="52"/>
      <c r="CY350" s="52"/>
      <c r="CZ350" s="52"/>
      <c r="DA350" s="52"/>
      <c r="DB350" s="52"/>
    </row>
    <row r="351" spans="1:106" ht="12.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211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2"/>
      <c r="CQ351" s="52"/>
      <c r="CR351" s="52"/>
      <c r="CS351" s="52"/>
      <c r="CT351" s="52"/>
      <c r="CU351" s="58"/>
      <c r="CV351" s="52"/>
      <c r="CW351" s="52"/>
      <c r="CX351" s="52"/>
      <c r="CY351" s="52"/>
      <c r="CZ351" s="52"/>
      <c r="DA351" s="52"/>
      <c r="DB351" s="52"/>
    </row>
    <row r="352" spans="1:106" ht="12.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211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8"/>
      <c r="CV352" s="52"/>
      <c r="CW352" s="52"/>
      <c r="CX352" s="52"/>
      <c r="CY352" s="52"/>
      <c r="CZ352" s="52"/>
      <c r="DA352" s="52"/>
      <c r="DB352" s="52"/>
    </row>
    <row r="353" spans="1:106" ht="12.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211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8"/>
      <c r="CV353" s="52"/>
      <c r="CW353" s="52"/>
      <c r="CX353" s="52"/>
      <c r="CY353" s="52"/>
      <c r="CZ353" s="52"/>
      <c r="DA353" s="52"/>
      <c r="DB353" s="52"/>
    </row>
    <row r="354" spans="1:106" ht="12.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211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52"/>
      <c r="CU354" s="58"/>
      <c r="CV354" s="52"/>
      <c r="CW354" s="52"/>
      <c r="CX354" s="52"/>
      <c r="CY354" s="52"/>
      <c r="CZ354" s="52"/>
      <c r="DA354" s="52"/>
      <c r="DB354" s="52"/>
    </row>
    <row r="355" spans="1:106" ht="12.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211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8"/>
      <c r="CV355" s="52"/>
      <c r="CW355" s="52"/>
      <c r="CX355" s="52"/>
      <c r="CY355" s="52"/>
      <c r="CZ355" s="52"/>
      <c r="DA355" s="52"/>
      <c r="DB355" s="52"/>
    </row>
    <row r="356" spans="1:106" ht="12.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211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8"/>
      <c r="CV356" s="52"/>
      <c r="CW356" s="52"/>
      <c r="CX356" s="52"/>
      <c r="CY356" s="52"/>
      <c r="CZ356" s="52"/>
      <c r="DA356" s="52"/>
      <c r="DB356" s="52"/>
    </row>
    <row r="357" spans="1:106" ht="12.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211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2"/>
      <c r="CQ357" s="52"/>
      <c r="CR357" s="52"/>
      <c r="CS357" s="52"/>
      <c r="CT357" s="52"/>
      <c r="CU357" s="58"/>
      <c r="CV357" s="52"/>
      <c r="CW357" s="52"/>
      <c r="CX357" s="52"/>
      <c r="CY357" s="52"/>
      <c r="CZ357" s="52"/>
      <c r="DA357" s="52"/>
      <c r="DB357" s="52"/>
    </row>
    <row r="358" spans="1:106" ht="12.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211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  <c r="CS358" s="52"/>
      <c r="CT358" s="52"/>
      <c r="CU358" s="58"/>
      <c r="CV358" s="52"/>
      <c r="CW358" s="52"/>
      <c r="CX358" s="52"/>
      <c r="CY358" s="52"/>
      <c r="CZ358" s="52"/>
      <c r="DA358" s="52"/>
      <c r="DB358" s="52"/>
    </row>
    <row r="359" spans="1:106" ht="12.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211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8"/>
      <c r="CV359" s="52"/>
      <c r="CW359" s="52"/>
      <c r="CX359" s="52"/>
      <c r="CY359" s="52"/>
      <c r="CZ359" s="52"/>
      <c r="DA359" s="52"/>
      <c r="DB359" s="52"/>
    </row>
    <row r="360" spans="1:106" ht="12.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211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2"/>
      <c r="CQ360" s="52"/>
      <c r="CR360" s="52"/>
      <c r="CS360" s="52"/>
      <c r="CT360" s="52"/>
      <c r="CU360" s="58"/>
      <c r="CV360" s="52"/>
      <c r="CW360" s="52"/>
      <c r="CX360" s="52"/>
      <c r="CY360" s="52"/>
      <c r="CZ360" s="52"/>
      <c r="DA360" s="52"/>
      <c r="DB360" s="52"/>
    </row>
    <row r="361" spans="1:106" ht="12.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211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2"/>
      <c r="CQ361" s="52"/>
      <c r="CR361" s="52"/>
      <c r="CS361" s="52"/>
      <c r="CT361" s="52"/>
      <c r="CU361" s="58"/>
      <c r="CV361" s="52"/>
      <c r="CW361" s="52"/>
      <c r="CX361" s="52"/>
      <c r="CY361" s="52"/>
      <c r="CZ361" s="52"/>
      <c r="DA361" s="52"/>
      <c r="DB361" s="52"/>
    </row>
    <row r="362" spans="1:106" ht="12.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211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  <c r="CS362" s="52"/>
      <c r="CT362" s="52"/>
      <c r="CU362" s="58"/>
      <c r="CV362" s="52"/>
      <c r="CW362" s="52"/>
      <c r="CX362" s="52"/>
      <c r="CY362" s="52"/>
      <c r="CZ362" s="52"/>
      <c r="DA362" s="52"/>
      <c r="DB362" s="52"/>
    </row>
    <row r="363" spans="1:106" ht="12.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211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2"/>
      <c r="CQ363" s="52"/>
      <c r="CR363" s="52"/>
      <c r="CS363" s="52"/>
      <c r="CT363" s="52"/>
      <c r="CU363" s="58"/>
      <c r="CV363" s="52"/>
      <c r="CW363" s="52"/>
      <c r="CX363" s="52"/>
      <c r="CY363" s="52"/>
      <c r="CZ363" s="52"/>
      <c r="DA363" s="52"/>
      <c r="DB363" s="52"/>
    </row>
    <row r="364" spans="1:106" ht="12.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211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2"/>
      <c r="CQ364" s="52"/>
      <c r="CR364" s="52"/>
      <c r="CS364" s="52"/>
      <c r="CT364" s="52"/>
      <c r="CU364" s="58"/>
      <c r="CV364" s="52"/>
      <c r="CW364" s="52"/>
      <c r="CX364" s="52"/>
      <c r="CY364" s="52"/>
      <c r="CZ364" s="52"/>
      <c r="DA364" s="52"/>
      <c r="DB364" s="52"/>
    </row>
    <row r="365" spans="1:106" ht="12.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211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  <c r="CS365" s="52"/>
      <c r="CT365" s="52"/>
      <c r="CU365" s="58"/>
      <c r="CV365" s="52"/>
      <c r="CW365" s="52"/>
      <c r="CX365" s="52"/>
      <c r="CY365" s="52"/>
      <c r="CZ365" s="52"/>
      <c r="DA365" s="52"/>
      <c r="DB365" s="52"/>
    </row>
    <row r="366" spans="1:106" ht="12.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211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2"/>
      <c r="CQ366" s="52"/>
      <c r="CR366" s="52"/>
      <c r="CS366" s="52"/>
      <c r="CT366" s="52"/>
      <c r="CU366" s="58"/>
      <c r="CV366" s="52"/>
      <c r="CW366" s="52"/>
      <c r="CX366" s="52"/>
      <c r="CY366" s="52"/>
      <c r="CZ366" s="52"/>
      <c r="DA366" s="52"/>
      <c r="DB366" s="52"/>
    </row>
    <row r="367" spans="1:106" ht="12.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211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52"/>
      <c r="CU367" s="58"/>
      <c r="CV367" s="52"/>
      <c r="CW367" s="52"/>
      <c r="CX367" s="52"/>
      <c r="CY367" s="52"/>
      <c r="CZ367" s="52"/>
      <c r="DA367" s="52"/>
      <c r="DB367" s="52"/>
    </row>
    <row r="368" spans="1:106" ht="12.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211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8"/>
      <c r="CV368" s="52"/>
      <c r="CW368" s="52"/>
      <c r="CX368" s="52"/>
      <c r="CY368" s="52"/>
      <c r="CZ368" s="52"/>
      <c r="DA368" s="52"/>
      <c r="DB368" s="52"/>
    </row>
    <row r="369" spans="1:106" ht="12.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211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52"/>
      <c r="CU369" s="58"/>
      <c r="CV369" s="52"/>
      <c r="CW369" s="52"/>
      <c r="CX369" s="52"/>
      <c r="CY369" s="52"/>
      <c r="CZ369" s="52"/>
      <c r="DA369" s="52"/>
      <c r="DB369" s="52"/>
    </row>
    <row r="370" spans="1:106" ht="12.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211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52"/>
      <c r="CU370" s="58"/>
      <c r="CV370" s="52"/>
      <c r="CW370" s="52"/>
      <c r="CX370" s="52"/>
      <c r="CY370" s="52"/>
      <c r="CZ370" s="52"/>
      <c r="DA370" s="52"/>
      <c r="DB370" s="52"/>
    </row>
    <row r="371" spans="1:106" ht="12.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211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8"/>
      <c r="CV371" s="52"/>
      <c r="CW371" s="52"/>
      <c r="CX371" s="52"/>
      <c r="CY371" s="52"/>
      <c r="CZ371" s="52"/>
      <c r="DA371" s="52"/>
      <c r="DB371" s="52"/>
    </row>
    <row r="372" spans="1:106" ht="12.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211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52"/>
      <c r="CU372" s="58"/>
      <c r="CV372" s="52"/>
      <c r="CW372" s="52"/>
      <c r="CX372" s="52"/>
      <c r="CY372" s="52"/>
      <c r="CZ372" s="52"/>
      <c r="DA372" s="52"/>
      <c r="DB372" s="52"/>
    </row>
    <row r="373" spans="1:106" ht="12.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211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52"/>
      <c r="CU373" s="58"/>
      <c r="CV373" s="52"/>
      <c r="CW373" s="52"/>
      <c r="CX373" s="52"/>
      <c r="CY373" s="52"/>
      <c r="CZ373" s="52"/>
      <c r="DA373" s="52"/>
      <c r="DB373" s="52"/>
    </row>
    <row r="374" spans="1:106" ht="12.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211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52"/>
      <c r="CU374" s="58"/>
      <c r="CV374" s="52"/>
      <c r="CW374" s="52"/>
      <c r="CX374" s="52"/>
      <c r="CY374" s="52"/>
      <c r="CZ374" s="52"/>
      <c r="DA374" s="52"/>
      <c r="DB374" s="52"/>
    </row>
    <row r="375" spans="1:106" ht="12.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211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52"/>
      <c r="CU375" s="58"/>
      <c r="CV375" s="52"/>
      <c r="CW375" s="52"/>
      <c r="CX375" s="52"/>
      <c r="CY375" s="52"/>
      <c r="CZ375" s="52"/>
      <c r="DA375" s="52"/>
      <c r="DB375" s="52"/>
    </row>
    <row r="376" spans="1:106" ht="12.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211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52"/>
      <c r="CU376" s="58"/>
      <c r="CV376" s="52"/>
      <c r="CW376" s="52"/>
      <c r="CX376" s="52"/>
      <c r="CY376" s="52"/>
      <c r="CZ376" s="52"/>
      <c r="DA376" s="52"/>
      <c r="DB376" s="52"/>
    </row>
    <row r="377" spans="1:106" ht="12.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211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52"/>
      <c r="CU377" s="58"/>
      <c r="CV377" s="52"/>
      <c r="CW377" s="52"/>
      <c r="CX377" s="52"/>
      <c r="CY377" s="52"/>
      <c r="CZ377" s="52"/>
      <c r="DA377" s="52"/>
      <c r="DB377" s="52"/>
    </row>
    <row r="378" spans="1:106" ht="12.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211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52"/>
      <c r="CU378" s="58"/>
      <c r="CV378" s="52"/>
      <c r="CW378" s="52"/>
      <c r="CX378" s="52"/>
      <c r="CY378" s="52"/>
      <c r="CZ378" s="52"/>
      <c r="DA378" s="52"/>
      <c r="DB378" s="52"/>
    </row>
    <row r="379" spans="1:106" ht="12.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211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52"/>
      <c r="CU379" s="58"/>
      <c r="CV379" s="52"/>
      <c r="CW379" s="52"/>
      <c r="CX379" s="52"/>
      <c r="CY379" s="52"/>
      <c r="CZ379" s="52"/>
      <c r="DA379" s="52"/>
      <c r="DB379" s="52"/>
    </row>
    <row r="380" spans="1:106" ht="12.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211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  <c r="CS380" s="52"/>
      <c r="CT380" s="52"/>
      <c r="CU380" s="58"/>
      <c r="CV380" s="52"/>
      <c r="CW380" s="52"/>
      <c r="CX380" s="52"/>
      <c r="CY380" s="52"/>
      <c r="CZ380" s="52"/>
      <c r="DA380" s="52"/>
      <c r="DB380" s="52"/>
    </row>
    <row r="381" spans="1:106" ht="12.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211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2"/>
      <c r="CQ381" s="52"/>
      <c r="CR381" s="52"/>
      <c r="CS381" s="52"/>
      <c r="CT381" s="52"/>
      <c r="CU381" s="58"/>
      <c r="CV381" s="52"/>
      <c r="CW381" s="52"/>
      <c r="CX381" s="52"/>
      <c r="CY381" s="52"/>
      <c r="CZ381" s="52"/>
      <c r="DA381" s="52"/>
      <c r="DB381" s="52"/>
    </row>
    <row r="382" spans="1:106" ht="12.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211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2"/>
      <c r="CQ382" s="52"/>
      <c r="CR382" s="52"/>
      <c r="CS382" s="52"/>
      <c r="CT382" s="52"/>
      <c r="CU382" s="58"/>
      <c r="CV382" s="52"/>
      <c r="CW382" s="52"/>
      <c r="CX382" s="52"/>
      <c r="CY382" s="52"/>
      <c r="CZ382" s="52"/>
      <c r="DA382" s="52"/>
      <c r="DB382" s="52"/>
    </row>
    <row r="383" spans="1:106" ht="12.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211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  <c r="CS383" s="52"/>
      <c r="CT383" s="52"/>
      <c r="CU383" s="58"/>
      <c r="CV383" s="52"/>
      <c r="CW383" s="52"/>
      <c r="CX383" s="52"/>
      <c r="CY383" s="52"/>
      <c r="CZ383" s="52"/>
      <c r="DA383" s="52"/>
      <c r="DB383" s="52"/>
    </row>
    <row r="384" spans="1:106" ht="12.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211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2"/>
      <c r="CQ384" s="52"/>
      <c r="CR384" s="52"/>
      <c r="CS384" s="52"/>
      <c r="CT384" s="52"/>
      <c r="CU384" s="58"/>
      <c r="CV384" s="52"/>
      <c r="CW384" s="52"/>
      <c r="CX384" s="52"/>
      <c r="CY384" s="52"/>
      <c r="CZ384" s="52"/>
      <c r="DA384" s="52"/>
      <c r="DB384" s="52"/>
    </row>
    <row r="385" spans="1:106" ht="12.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211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  <c r="CS385" s="52"/>
      <c r="CT385" s="52"/>
      <c r="CU385" s="58"/>
      <c r="CV385" s="52"/>
      <c r="CW385" s="52"/>
      <c r="CX385" s="52"/>
      <c r="CY385" s="52"/>
      <c r="CZ385" s="52"/>
      <c r="DA385" s="52"/>
      <c r="DB385" s="52"/>
    </row>
    <row r="386" spans="1:106" ht="12.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211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  <c r="CS386" s="52"/>
      <c r="CT386" s="52"/>
      <c r="CU386" s="58"/>
      <c r="CV386" s="52"/>
      <c r="CW386" s="52"/>
      <c r="CX386" s="52"/>
      <c r="CY386" s="52"/>
      <c r="CZ386" s="52"/>
      <c r="DA386" s="52"/>
      <c r="DB386" s="52"/>
    </row>
    <row r="387" spans="1:106" ht="12.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211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2"/>
      <c r="CQ387" s="52"/>
      <c r="CR387" s="52"/>
      <c r="CS387" s="52"/>
      <c r="CT387" s="52"/>
      <c r="CU387" s="58"/>
      <c r="CV387" s="52"/>
      <c r="CW387" s="52"/>
      <c r="CX387" s="52"/>
      <c r="CY387" s="52"/>
      <c r="CZ387" s="52"/>
      <c r="DA387" s="52"/>
      <c r="DB387" s="52"/>
    </row>
    <row r="388" spans="1:106" ht="12.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211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  <c r="CS388" s="52"/>
      <c r="CT388" s="52"/>
      <c r="CU388" s="58"/>
      <c r="CV388" s="52"/>
      <c r="CW388" s="52"/>
      <c r="CX388" s="52"/>
      <c r="CY388" s="52"/>
      <c r="CZ388" s="52"/>
      <c r="DA388" s="52"/>
      <c r="DB388" s="52"/>
    </row>
    <row r="389" spans="1:106" ht="12.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211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  <c r="CS389" s="52"/>
      <c r="CT389" s="52"/>
      <c r="CU389" s="58"/>
      <c r="CV389" s="52"/>
      <c r="CW389" s="52"/>
      <c r="CX389" s="52"/>
      <c r="CY389" s="52"/>
      <c r="CZ389" s="52"/>
      <c r="DA389" s="52"/>
      <c r="DB389" s="52"/>
    </row>
    <row r="390" spans="1:106" ht="12.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211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  <c r="CS390" s="52"/>
      <c r="CT390" s="52"/>
      <c r="CU390" s="58"/>
      <c r="CV390" s="52"/>
      <c r="CW390" s="52"/>
      <c r="CX390" s="52"/>
      <c r="CY390" s="52"/>
      <c r="CZ390" s="52"/>
      <c r="DA390" s="52"/>
      <c r="DB390" s="52"/>
    </row>
    <row r="391" spans="1:106" ht="12.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211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2"/>
      <c r="CQ391" s="52"/>
      <c r="CR391" s="52"/>
      <c r="CS391" s="52"/>
      <c r="CT391" s="52"/>
      <c r="CU391" s="58"/>
      <c r="CV391" s="52"/>
      <c r="CW391" s="52"/>
      <c r="CX391" s="52"/>
      <c r="CY391" s="52"/>
      <c r="CZ391" s="52"/>
      <c r="DA391" s="52"/>
      <c r="DB391" s="52"/>
    </row>
    <row r="392" spans="1:106" ht="12.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211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8"/>
      <c r="CV392" s="52"/>
      <c r="CW392" s="52"/>
      <c r="CX392" s="52"/>
      <c r="CY392" s="52"/>
      <c r="CZ392" s="52"/>
      <c r="DA392" s="52"/>
      <c r="DB392" s="52"/>
    </row>
    <row r="393" spans="1:106" ht="12.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211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2"/>
      <c r="CQ393" s="52"/>
      <c r="CR393" s="52"/>
      <c r="CS393" s="52"/>
      <c r="CT393" s="52"/>
      <c r="CU393" s="58"/>
      <c r="CV393" s="52"/>
      <c r="CW393" s="52"/>
      <c r="CX393" s="52"/>
      <c r="CY393" s="52"/>
      <c r="CZ393" s="52"/>
      <c r="DA393" s="52"/>
      <c r="DB393" s="52"/>
    </row>
    <row r="394" spans="1:106" ht="12.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211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  <c r="CS394" s="52"/>
      <c r="CT394" s="52"/>
      <c r="CU394" s="58"/>
      <c r="CV394" s="52"/>
      <c r="CW394" s="52"/>
      <c r="CX394" s="52"/>
      <c r="CY394" s="52"/>
      <c r="CZ394" s="52"/>
      <c r="DA394" s="52"/>
      <c r="DB394" s="52"/>
    </row>
    <row r="395" spans="1:106" ht="12.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211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8"/>
      <c r="CV395" s="52"/>
      <c r="CW395" s="52"/>
      <c r="CX395" s="52"/>
      <c r="CY395" s="52"/>
      <c r="CZ395" s="52"/>
      <c r="DA395" s="52"/>
      <c r="DB395" s="52"/>
    </row>
    <row r="396" spans="1:106" ht="12.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211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2"/>
      <c r="CQ396" s="52"/>
      <c r="CR396" s="52"/>
      <c r="CS396" s="52"/>
      <c r="CT396" s="52"/>
      <c r="CU396" s="58"/>
      <c r="CV396" s="52"/>
      <c r="CW396" s="52"/>
      <c r="CX396" s="52"/>
      <c r="CY396" s="52"/>
      <c r="CZ396" s="52"/>
      <c r="DA396" s="52"/>
      <c r="DB396" s="52"/>
    </row>
    <row r="397" spans="1:106" ht="12.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211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2"/>
      <c r="CQ397" s="52"/>
      <c r="CR397" s="52"/>
      <c r="CS397" s="52"/>
      <c r="CT397" s="52"/>
      <c r="CU397" s="58"/>
      <c r="CV397" s="52"/>
      <c r="CW397" s="52"/>
      <c r="CX397" s="52"/>
      <c r="CY397" s="52"/>
      <c r="CZ397" s="52"/>
      <c r="DA397" s="52"/>
      <c r="DB397" s="52"/>
    </row>
    <row r="398" spans="1:106" ht="12.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211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  <c r="CS398" s="52"/>
      <c r="CT398" s="52"/>
      <c r="CU398" s="58"/>
      <c r="CV398" s="52"/>
      <c r="CW398" s="52"/>
      <c r="CX398" s="52"/>
      <c r="CY398" s="52"/>
      <c r="CZ398" s="52"/>
      <c r="DA398" s="52"/>
      <c r="DB398" s="52"/>
    </row>
    <row r="399" spans="1:106" ht="12.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211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  <c r="CS399" s="52"/>
      <c r="CT399" s="52"/>
      <c r="CU399" s="58"/>
      <c r="CV399" s="52"/>
      <c r="CW399" s="52"/>
      <c r="CX399" s="52"/>
      <c r="CY399" s="52"/>
      <c r="CZ399" s="52"/>
      <c r="DA399" s="52"/>
      <c r="DB399" s="52"/>
    </row>
    <row r="400" spans="1:106" ht="12.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211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2"/>
      <c r="CQ400" s="52"/>
      <c r="CR400" s="52"/>
      <c r="CS400" s="52"/>
      <c r="CT400" s="52"/>
      <c r="CU400" s="58"/>
      <c r="CV400" s="52"/>
      <c r="CW400" s="52"/>
      <c r="CX400" s="52"/>
      <c r="CY400" s="52"/>
      <c r="CZ400" s="52"/>
      <c r="DA400" s="52"/>
      <c r="DB400" s="52"/>
    </row>
    <row r="401" spans="1:106" ht="12.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211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8"/>
      <c r="CV401" s="52"/>
      <c r="CW401" s="52"/>
      <c r="CX401" s="52"/>
      <c r="CY401" s="52"/>
      <c r="CZ401" s="52"/>
      <c r="DA401" s="52"/>
      <c r="DB401" s="52"/>
    </row>
    <row r="402" spans="1:106" ht="12.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211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2"/>
      <c r="CQ402" s="52"/>
      <c r="CR402" s="52"/>
      <c r="CS402" s="52"/>
      <c r="CT402" s="52"/>
      <c r="CU402" s="58"/>
      <c r="CV402" s="52"/>
      <c r="CW402" s="52"/>
      <c r="CX402" s="52"/>
      <c r="CY402" s="52"/>
      <c r="CZ402" s="52"/>
      <c r="DA402" s="52"/>
      <c r="DB402" s="52"/>
    </row>
    <row r="403" spans="1:106" ht="12.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211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2"/>
      <c r="CQ403" s="52"/>
      <c r="CR403" s="52"/>
      <c r="CS403" s="52"/>
      <c r="CT403" s="52"/>
      <c r="CU403" s="58"/>
      <c r="CV403" s="52"/>
      <c r="CW403" s="52"/>
      <c r="CX403" s="52"/>
      <c r="CY403" s="52"/>
      <c r="CZ403" s="52"/>
      <c r="DA403" s="52"/>
      <c r="DB403" s="52"/>
    </row>
    <row r="404" spans="1:106" ht="12.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211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  <c r="CS404" s="52"/>
      <c r="CT404" s="52"/>
      <c r="CU404" s="58"/>
      <c r="CV404" s="52"/>
      <c r="CW404" s="52"/>
      <c r="CX404" s="52"/>
      <c r="CY404" s="52"/>
      <c r="CZ404" s="52"/>
      <c r="DA404" s="52"/>
      <c r="DB404" s="52"/>
    </row>
    <row r="405" spans="1:106" ht="12.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211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8"/>
      <c r="CV405" s="52"/>
      <c r="CW405" s="52"/>
      <c r="CX405" s="52"/>
      <c r="CY405" s="52"/>
      <c r="CZ405" s="52"/>
      <c r="DA405" s="52"/>
      <c r="DB405" s="52"/>
    </row>
    <row r="406" spans="1:106" ht="12.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211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  <c r="CS406" s="52"/>
      <c r="CT406" s="52"/>
      <c r="CU406" s="58"/>
      <c r="CV406" s="52"/>
      <c r="CW406" s="52"/>
      <c r="CX406" s="52"/>
      <c r="CY406" s="52"/>
      <c r="CZ406" s="52"/>
      <c r="DA406" s="52"/>
      <c r="DB406" s="52"/>
    </row>
    <row r="407" spans="1:106" ht="12.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211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8"/>
      <c r="CV407" s="52"/>
      <c r="CW407" s="52"/>
      <c r="CX407" s="52"/>
      <c r="CY407" s="52"/>
      <c r="CZ407" s="52"/>
      <c r="DA407" s="52"/>
      <c r="DB407" s="52"/>
    </row>
    <row r="408" spans="1:106" ht="12.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211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  <c r="CS408" s="52"/>
      <c r="CT408" s="52"/>
      <c r="CU408" s="58"/>
      <c r="CV408" s="52"/>
      <c r="CW408" s="52"/>
      <c r="CX408" s="52"/>
      <c r="CY408" s="52"/>
      <c r="CZ408" s="52"/>
      <c r="DA408" s="52"/>
      <c r="DB408" s="52"/>
    </row>
    <row r="409" spans="1:106" ht="12.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211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52"/>
      <c r="CU409" s="58"/>
      <c r="CV409" s="52"/>
      <c r="CW409" s="52"/>
      <c r="CX409" s="52"/>
      <c r="CY409" s="52"/>
      <c r="CZ409" s="52"/>
      <c r="DA409" s="52"/>
      <c r="DB409" s="52"/>
    </row>
    <row r="410" spans="1:106" ht="12.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211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52"/>
      <c r="CU410" s="58"/>
      <c r="CV410" s="52"/>
      <c r="CW410" s="52"/>
      <c r="CX410" s="52"/>
      <c r="CY410" s="52"/>
      <c r="CZ410" s="52"/>
      <c r="DA410" s="52"/>
      <c r="DB410" s="52"/>
    </row>
    <row r="411" spans="1:106" ht="12.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211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52"/>
      <c r="CU411" s="58"/>
      <c r="CV411" s="52"/>
      <c r="CW411" s="52"/>
      <c r="CX411" s="52"/>
      <c r="CY411" s="52"/>
      <c r="CZ411" s="52"/>
      <c r="DA411" s="52"/>
      <c r="DB411" s="52"/>
    </row>
    <row r="412" spans="1:106" ht="12.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211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52"/>
      <c r="CU412" s="58"/>
      <c r="CV412" s="52"/>
      <c r="CW412" s="52"/>
      <c r="CX412" s="52"/>
      <c r="CY412" s="52"/>
      <c r="CZ412" s="52"/>
      <c r="DA412" s="52"/>
      <c r="DB412" s="52"/>
    </row>
    <row r="413" spans="1:106" ht="12.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211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8"/>
      <c r="CV413" s="52"/>
      <c r="CW413" s="52"/>
      <c r="CX413" s="52"/>
      <c r="CY413" s="52"/>
      <c r="CZ413" s="52"/>
      <c r="DA413" s="52"/>
      <c r="DB413" s="52"/>
    </row>
    <row r="414" spans="1:106" ht="12.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211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52"/>
      <c r="CU414" s="58"/>
      <c r="CV414" s="52"/>
      <c r="CW414" s="52"/>
      <c r="CX414" s="52"/>
      <c r="CY414" s="52"/>
      <c r="CZ414" s="52"/>
      <c r="DA414" s="52"/>
      <c r="DB414" s="52"/>
    </row>
    <row r="415" spans="1:106" ht="12.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211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52"/>
      <c r="CU415" s="58"/>
      <c r="CV415" s="52"/>
      <c r="CW415" s="52"/>
      <c r="CX415" s="52"/>
      <c r="CY415" s="52"/>
      <c r="CZ415" s="52"/>
      <c r="DA415" s="52"/>
      <c r="DB415" s="52"/>
    </row>
    <row r="416" spans="1:106" ht="12.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211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8"/>
      <c r="CV416" s="52"/>
      <c r="CW416" s="52"/>
      <c r="CX416" s="52"/>
      <c r="CY416" s="52"/>
      <c r="CZ416" s="52"/>
      <c r="DA416" s="52"/>
      <c r="DB416" s="52"/>
    </row>
    <row r="417" spans="1:106" ht="12.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211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52"/>
      <c r="CU417" s="58"/>
      <c r="CV417" s="52"/>
      <c r="CW417" s="52"/>
      <c r="CX417" s="52"/>
      <c r="CY417" s="52"/>
      <c r="CZ417" s="52"/>
      <c r="DA417" s="52"/>
      <c r="DB417" s="52"/>
    </row>
    <row r="418" spans="1:106" ht="12.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211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52"/>
      <c r="CU418" s="58"/>
      <c r="CV418" s="52"/>
      <c r="CW418" s="52"/>
      <c r="CX418" s="52"/>
      <c r="CY418" s="52"/>
      <c r="CZ418" s="52"/>
      <c r="DA418" s="52"/>
      <c r="DB418" s="52"/>
    </row>
    <row r="419" spans="1:106" ht="12.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211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52"/>
      <c r="CU419" s="58"/>
      <c r="CV419" s="52"/>
      <c r="CW419" s="52"/>
      <c r="CX419" s="52"/>
      <c r="CY419" s="52"/>
      <c r="CZ419" s="52"/>
      <c r="DA419" s="52"/>
      <c r="DB419" s="52"/>
    </row>
    <row r="420" spans="1:106" ht="12.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211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  <c r="CS420" s="52"/>
      <c r="CT420" s="52"/>
      <c r="CU420" s="58"/>
      <c r="CV420" s="52"/>
      <c r="CW420" s="52"/>
      <c r="CX420" s="52"/>
      <c r="CY420" s="52"/>
      <c r="CZ420" s="52"/>
      <c r="DA420" s="52"/>
      <c r="DB420" s="52"/>
    </row>
    <row r="421" spans="1:106" ht="12.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211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  <c r="CS421" s="52"/>
      <c r="CT421" s="52"/>
      <c r="CU421" s="58"/>
      <c r="CV421" s="52"/>
      <c r="CW421" s="52"/>
      <c r="CX421" s="52"/>
      <c r="CY421" s="52"/>
      <c r="CZ421" s="52"/>
      <c r="DA421" s="52"/>
      <c r="DB421" s="52"/>
    </row>
    <row r="422" spans="1:106" ht="12.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211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8"/>
      <c r="CV422" s="52"/>
      <c r="CW422" s="52"/>
      <c r="CX422" s="52"/>
      <c r="CY422" s="52"/>
      <c r="CZ422" s="52"/>
      <c r="DA422" s="52"/>
      <c r="DB422" s="52"/>
    </row>
    <row r="423" spans="1:106" ht="12.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211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  <c r="CS423" s="52"/>
      <c r="CT423" s="52"/>
      <c r="CU423" s="58"/>
      <c r="CV423" s="52"/>
      <c r="CW423" s="52"/>
      <c r="CX423" s="52"/>
      <c r="CY423" s="52"/>
      <c r="CZ423" s="52"/>
      <c r="DA423" s="52"/>
      <c r="DB423" s="52"/>
    </row>
    <row r="424" spans="1:106" ht="12.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211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8"/>
      <c r="CV424" s="52"/>
      <c r="CW424" s="52"/>
      <c r="CX424" s="52"/>
      <c r="CY424" s="52"/>
      <c r="CZ424" s="52"/>
      <c r="DA424" s="52"/>
      <c r="DB424" s="52"/>
    </row>
    <row r="425" spans="1:106" ht="12.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211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  <c r="CS425" s="52"/>
      <c r="CT425" s="52"/>
      <c r="CU425" s="58"/>
      <c r="CV425" s="52"/>
      <c r="CW425" s="52"/>
      <c r="CX425" s="52"/>
      <c r="CY425" s="52"/>
      <c r="CZ425" s="52"/>
      <c r="DA425" s="52"/>
      <c r="DB425" s="52"/>
    </row>
    <row r="426" spans="1:106" ht="12.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211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2"/>
      <c r="CQ426" s="52"/>
      <c r="CR426" s="52"/>
      <c r="CS426" s="52"/>
      <c r="CT426" s="52"/>
      <c r="CU426" s="58"/>
      <c r="CV426" s="52"/>
      <c r="CW426" s="52"/>
      <c r="CX426" s="52"/>
      <c r="CY426" s="52"/>
      <c r="CZ426" s="52"/>
      <c r="DA426" s="52"/>
      <c r="DB426" s="52"/>
    </row>
    <row r="427" spans="1:106" ht="12.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211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2"/>
      <c r="CQ427" s="52"/>
      <c r="CR427" s="52"/>
      <c r="CS427" s="52"/>
      <c r="CT427" s="52"/>
      <c r="CU427" s="58"/>
      <c r="CV427" s="52"/>
      <c r="CW427" s="52"/>
      <c r="CX427" s="52"/>
      <c r="CY427" s="52"/>
      <c r="CZ427" s="52"/>
      <c r="DA427" s="52"/>
      <c r="DB427" s="52"/>
    </row>
    <row r="428" spans="1:106" ht="12.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211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8"/>
      <c r="CV428" s="52"/>
      <c r="CW428" s="52"/>
      <c r="CX428" s="52"/>
      <c r="CY428" s="52"/>
      <c r="CZ428" s="52"/>
      <c r="DA428" s="52"/>
      <c r="DB428" s="52"/>
    </row>
    <row r="429" spans="1:106" ht="12.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211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2"/>
      <c r="CQ429" s="52"/>
      <c r="CR429" s="52"/>
      <c r="CS429" s="52"/>
      <c r="CT429" s="52"/>
      <c r="CU429" s="58"/>
      <c r="CV429" s="52"/>
      <c r="CW429" s="52"/>
      <c r="CX429" s="52"/>
      <c r="CY429" s="52"/>
      <c r="CZ429" s="52"/>
      <c r="DA429" s="52"/>
      <c r="DB429" s="52"/>
    </row>
    <row r="430" spans="1:106" ht="12.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211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  <c r="CS430" s="52"/>
      <c r="CT430" s="52"/>
      <c r="CU430" s="58"/>
      <c r="CV430" s="52"/>
      <c r="CW430" s="52"/>
      <c r="CX430" s="52"/>
      <c r="CY430" s="52"/>
      <c r="CZ430" s="52"/>
      <c r="DA430" s="52"/>
      <c r="DB430" s="52"/>
    </row>
    <row r="431" spans="1:106" ht="12.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211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  <c r="CS431" s="52"/>
      <c r="CT431" s="52"/>
      <c r="CU431" s="58"/>
      <c r="CV431" s="52"/>
      <c r="CW431" s="52"/>
      <c r="CX431" s="52"/>
      <c r="CY431" s="52"/>
      <c r="CZ431" s="52"/>
      <c r="DA431" s="52"/>
      <c r="DB431" s="52"/>
    </row>
    <row r="432" spans="1:106" ht="12.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211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  <c r="CS432" s="52"/>
      <c r="CT432" s="52"/>
      <c r="CU432" s="58"/>
      <c r="CV432" s="52"/>
      <c r="CW432" s="52"/>
      <c r="CX432" s="52"/>
      <c r="CY432" s="52"/>
      <c r="CZ432" s="52"/>
      <c r="DA432" s="52"/>
      <c r="DB432" s="52"/>
    </row>
    <row r="433" spans="1:106" ht="12.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211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2"/>
      <c r="CQ433" s="52"/>
      <c r="CR433" s="52"/>
      <c r="CS433" s="52"/>
      <c r="CT433" s="52"/>
      <c r="CU433" s="58"/>
      <c r="CV433" s="52"/>
      <c r="CW433" s="52"/>
      <c r="CX433" s="52"/>
      <c r="CY433" s="52"/>
      <c r="CZ433" s="52"/>
      <c r="DA433" s="52"/>
      <c r="DB433" s="52"/>
    </row>
    <row r="434" spans="1:106" ht="12.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211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  <c r="CS434" s="52"/>
      <c r="CT434" s="52"/>
      <c r="CU434" s="58"/>
      <c r="CV434" s="52"/>
      <c r="CW434" s="52"/>
      <c r="CX434" s="52"/>
      <c r="CY434" s="52"/>
      <c r="CZ434" s="52"/>
      <c r="DA434" s="52"/>
      <c r="DB434" s="52"/>
    </row>
    <row r="435" spans="1:106" ht="12.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211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2"/>
      <c r="CQ435" s="52"/>
      <c r="CR435" s="52"/>
      <c r="CS435" s="52"/>
      <c r="CT435" s="52"/>
      <c r="CU435" s="58"/>
      <c r="CV435" s="52"/>
      <c r="CW435" s="52"/>
      <c r="CX435" s="52"/>
      <c r="CY435" s="52"/>
      <c r="CZ435" s="52"/>
      <c r="DA435" s="52"/>
      <c r="DB435" s="52"/>
    </row>
    <row r="436" spans="1:106" ht="12.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211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  <c r="CS436" s="52"/>
      <c r="CT436" s="52"/>
      <c r="CU436" s="58"/>
      <c r="CV436" s="52"/>
      <c r="CW436" s="52"/>
      <c r="CX436" s="52"/>
      <c r="CY436" s="52"/>
      <c r="CZ436" s="52"/>
      <c r="DA436" s="52"/>
      <c r="DB436" s="52"/>
    </row>
    <row r="437" spans="1:106" ht="12.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211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  <c r="CS437" s="52"/>
      <c r="CT437" s="52"/>
      <c r="CU437" s="58"/>
      <c r="CV437" s="52"/>
      <c r="CW437" s="52"/>
      <c r="CX437" s="52"/>
      <c r="CY437" s="52"/>
      <c r="CZ437" s="52"/>
      <c r="DA437" s="52"/>
      <c r="DB437" s="52"/>
    </row>
    <row r="438" spans="1:106" ht="12.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211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2"/>
      <c r="CQ438" s="52"/>
      <c r="CR438" s="52"/>
      <c r="CS438" s="52"/>
      <c r="CT438" s="52"/>
      <c r="CU438" s="58"/>
      <c r="CV438" s="52"/>
      <c r="CW438" s="52"/>
      <c r="CX438" s="52"/>
      <c r="CY438" s="52"/>
      <c r="CZ438" s="52"/>
      <c r="DA438" s="52"/>
      <c r="DB438" s="52"/>
    </row>
    <row r="439" spans="1:106" ht="12.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211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2"/>
      <c r="CQ439" s="52"/>
      <c r="CR439" s="52"/>
      <c r="CS439" s="52"/>
      <c r="CT439" s="52"/>
      <c r="CU439" s="58"/>
      <c r="CV439" s="52"/>
      <c r="CW439" s="52"/>
      <c r="CX439" s="52"/>
      <c r="CY439" s="52"/>
      <c r="CZ439" s="52"/>
      <c r="DA439" s="52"/>
      <c r="DB439" s="52"/>
    </row>
    <row r="440" spans="1:106" ht="12.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211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8"/>
      <c r="CV440" s="52"/>
      <c r="CW440" s="52"/>
      <c r="CX440" s="52"/>
      <c r="CY440" s="52"/>
      <c r="CZ440" s="52"/>
      <c r="DA440" s="52"/>
      <c r="DB440" s="52"/>
    </row>
    <row r="441" spans="1:106" ht="12.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211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2"/>
      <c r="CQ441" s="52"/>
      <c r="CR441" s="52"/>
      <c r="CS441" s="52"/>
      <c r="CT441" s="52"/>
      <c r="CU441" s="58"/>
      <c r="CV441" s="52"/>
      <c r="CW441" s="52"/>
      <c r="CX441" s="52"/>
      <c r="CY441" s="52"/>
      <c r="CZ441" s="52"/>
      <c r="DA441" s="52"/>
      <c r="DB441" s="52"/>
    </row>
    <row r="442" spans="1:106" ht="12.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211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2"/>
      <c r="CQ442" s="52"/>
      <c r="CR442" s="52"/>
      <c r="CS442" s="52"/>
      <c r="CT442" s="52"/>
      <c r="CU442" s="58"/>
      <c r="CV442" s="52"/>
      <c r="CW442" s="52"/>
      <c r="CX442" s="52"/>
      <c r="CY442" s="52"/>
      <c r="CZ442" s="52"/>
      <c r="DA442" s="52"/>
      <c r="DB442" s="52"/>
    </row>
    <row r="443" spans="1:106" ht="12.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211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  <c r="CS443" s="52"/>
      <c r="CT443" s="52"/>
      <c r="CU443" s="58"/>
      <c r="CV443" s="52"/>
      <c r="CW443" s="52"/>
      <c r="CX443" s="52"/>
      <c r="CY443" s="52"/>
      <c r="CZ443" s="52"/>
      <c r="DA443" s="52"/>
      <c r="DB443" s="52"/>
    </row>
    <row r="444" spans="1:106" ht="12.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211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2"/>
      <c r="CQ444" s="52"/>
      <c r="CR444" s="52"/>
      <c r="CS444" s="52"/>
      <c r="CT444" s="52"/>
      <c r="CU444" s="58"/>
      <c r="CV444" s="52"/>
      <c r="CW444" s="52"/>
      <c r="CX444" s="52"/>
      <c r="CY444" s="52"/>
      <c r="CZ444" s="52"/>
      <c r="DA444" s="52"/>
      <c r="DB444" s="52"/>
    </row>
    <row r="445" spans="1:106" ht="12.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211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2"/>
      <c r="CQ445" s="52"/>
      <c r="CR445" s="52"/>
      <c r="CS445" s="52"/>
      <c r="CT445" s="52"/>
      <c r="CU445" s="58"/>
      <c r="CV445" s="52"/>
      <c r="CW445" s="52"/>
      <c r="CX445" s="52"/>
      <c r="CY445" s="52"/>
      <c r="CZ445" s="52"/>
      <c r="DA445" s="52"/>
      <c r="DB445" s="52"/>
    </row>
    <row r="446" spans="1:106" ht="12.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211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  <c r="CS446" s="52"/>
      <c r="CT446" s="52"/>
      <c r="CU446" s="58"/>
      <c r="CV446" s="52"/>
      <c r="CW446" s="52"/>
      <c r="CX446" s="52"/>
      <c r="CY446" s="52"/>
      <c r="CZ446" s="52"/>
      <c r="DA446" s="52"/>
      <c r="DB446" s="52"/>
    </row>
    <row r="447" spans="1:106" ht="12.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211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52"/>
      <c r="CU447" s="58"/>
      <c r="CV447" s="52"/>
      <c r="CW447" s="52"/>
      <c r="CX447" s="52"/>
      <c r="CY447" s="52"/>
      <c r="CZ447" s="52"/>
      <c r="DA447" s="52"/>
      <c r="DB447" s="52"/>
    </row>
    <row r="448" spans="1:106" ht="12.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211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2"/>
      <c r="CQ448" s="52"/>
      <c r="CR448" s="52"/>
      <c r="CS448" s="52"/>
      <c r="CT448" s="52"/>
      <c r="CU448" s="58"/>
      <c r="CV448" s="52"/>
      <c r="CW448" s="52"/>
      <c r="CX448" s="52"/>
      <c r="CY448" s="52"/>
      <c r="CZ448" s="52"/>
      <c r="DA448" s="52"/>
      <c r="DB448" s="52"/>
    </row>
    <row r="449" spans="1:106" ht="12.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211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52"/>
      <c r="CU449" s="58"/>
      <c r="CV449" s="52"/>
      <c r="CW449" s="52"/>
      <c r="CX449" s="52"/>
      <c r="CY449" s="52"/>
      <c r="CZ449" s="52"/>
      <c r="DA449" s="52"/>
      <c r="DB449" s="52"/>
    </row>
    <row r="450" spans="1:106" ht="12.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211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52"/>
      <c r="CU450" s="58"/>
      <c r="CV450" s="52"/>
      <c r="CW450" s="52"/>
      <c r="CX450" s="52"/>
      <c r="CY450" s="52"/>
      <c r="CZ450" s="52"/>
      <c r="DA450" s="52"/>
      <c r="DB450" s="52"/>
    </row>
    <row r="451" spans="1:106" ht="12.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211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52"/>
      <c r="CU451" s="58"/>
      <c r="CV451" s="52"/>
      <c r="CW451" s="52"/>
      <c r="CX451" s="52"/>
      <c r="CY451" s="52"/>
      <c r="CZ451" s="52"/>
      <c r="DA451" s="52"/>
      <c r="DB451" s="52"/>
    </row>
    <row r="452" spans="1:106" ht="12.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211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58"/>
      <c r="CV452" s="52"/>
      <c r="CW452" s="52"/>
      <c r="CX452" s="52"/>
      <c r="CY452" s="52"/>
      <c r="CZ452" s="52"/>
      <c r="DA452" s="52"/>
      <c r="DB452" s="52"/>
    </row>
    <row r="453" spans="1:106" ht="12.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211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52"/>
      <c r="CU453" s="58"/>
      <c r="CV453" s="52"/>
      <c r="CW453" s="52"/>
      <c r="CX453" s="52"/>
      <c r="CY453" s="52"/>
      <c r="CZ453" s="52"/>
      <c r="DA453" s="52"/>
      <c r="DB453" s="52"/>
    </row>
    <row r="454" spans="1:106" ht="12.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211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52"/>
      <c r="CU454" s="58"/>
      <c r="CV454" s="52"/>
      <c r="CW454" s="52"/>
      <c r="CX454" s="52"/>
      <c r="CY454" s="52"/>
      <c r="CZ454" s="52"/>
      <c r="DA454" s="52"/>
      <c r="DB454" s="52"/>
    </row>
    <row r="455" spans="1:106" ht="12.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211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52"/>
      <c r="CU455" s="58"/>
      <c r="CV455" s="52"/>
      <c r="CW455" s="52"/>
      <c r="CX455" s="52"/>
      <c r="CY455" s="52"/>
      <c r="CZ455" s="52"/>
      <c r="DA455" s="52"/>
      <c r="DB455" s="52"/>
    </row>
    <row r="456" spans="1:106" ht="12.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211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52"/>
      <c r="CU456" s="58"/>
      <c r="CV456" s="52"/>
      <c r="CW456" s="52"/>
      <c r="CX456" s="52"/>
      <c r="CY456" s="52"/>
      <c r="CZ456" s="52"/>
      <c r="DA456" s="52"/>
      <c r="DB456" s="52"/>
    </row>
    <row r="457" spans="1:106" ht="12.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211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52"/>
      <c r="CU457" s="58"/>
      <c r="CV457" s="52"/>
      <c r="CW457" s="52"/>
      <c r="CX457" s="52"/>
      <c r="CY457" s="52"/>
      <c r="CZ457" s="52"/>
      <c r="DA457" s="52"/>
      <c r="DB457" s="52"/>
    </row>
    <row r="458" spans="1:106" ht="12.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211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52"/>
      <c r="CU458" s="58"/>
      <c r="CV458" s="52"/>
      <c r="CW458" s="52"/>
      <c r="CX458" s="52"/>
      <c r="CY458" s="52"/>
      <c r="CZ458" s="52"/>
      <c r="DA458" s="52"/>
      <c r="DB458" s="52"/>
    </row>
    <row r="459" spans="1:106" ht="12.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211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52"/>
      <c r="CU459" s="58"/>
      <c r="CV459" s="52"/>
      <c r="CW459" s="52"/>
      <c r="CX459" s="52"/>
      <c r="CY459" s="52"/>
      <c r="CZ459" s="52"/>
      <c r="DA459" s="52"/>
      <c r="DB459" s="52"/>
    </row>
    <row r="460" spans="1:106" ht="12.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211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2"/>
      <c r="CQ460" s="52"/>
      <c r="CR460" s="52"/>
      <c r="CS460" s="52"/>
      <c r="CT460" s="52"/>
      <c r="CU460" s="58"/>
      <c r="CV460" s="52"/>
      <c r="CW460" s="52"/>
      <c r="CX460" s="52"/>
      <c r="CY460" s="52"/>
      <c r="CZ460" s="52"/>
      <c r="DA460" s="52"/>
      <c r="DB460" s="52"/>
    </row>
    <row r="461" spans="1:106" ht="12.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211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  <c r="CS461" s="52"/>
      <c r="CT461" s="52"/>
      <c r="CU461" s="58"/>
      <c r="CV461" s="52"/>
      <c r="CW461" s="52"/>
      <c r="CX461" s="52"/>
      <c r="CY461" s="52"/>
      <c r="CZ461" s="52"/>
      <c r="DA461" s="52"/>
      <c r="DB461" s="52"/>
    </row>
    <row r="462" spans="1:106" ht="12.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211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2"/>
      <c r="CQ462" s="52"/>
      <c r="CR462" s="52"/>
      <c r="CS462" s="52"/>
      <c r="CT462" s="52"/>
      <c r="CU462" s="58"/>
      <c r="CV462" s="52"/>
      <c r="CW462" s="52"/>
      <c r="CX462" s="52"/>
      <c r="CY462" s="52"/>
      <c r="CZ462" s="52"/>
      <c r="DA462" s="52"/>
      <c r="DB462" s="52"/>
    </row>
    <row r="463" spans="1:106" ht="12.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211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  <c r="CS463" s="52"/>
      <c r="CT463" s="52"/>
      <c r="CU463" s="58"/>
      <c r="CV463" s="52"/>
      <c r="CW463" s="52"/>
      <c r="CX463" s="52"/>
      <c r="CY463" s="52"/>
      <c r="CZ463" s="52"/>
      <c r="DA463" s="52"/>
      <c r="DB463" s="52"/>
    </row>
    <row r="464" spans="1:106" ht="12.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211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8"/>
      <c r="CV464" s="52"/>
      <c r="CW464" s="52"/>
      <c r="CX464" s="52"/>
      <c r="CY464" s="52"/>
      <c r="CZ464" s="52"/>
      <c r="DA464" s="52"/>
      <c r="DB464" s="52"/>
    </row>
    <row r="465" spans="1:106" ht="12.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211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  <c r="CS465" s="52"/>
      <c r="CT465" s="52"/>
      <c r="CU465" s="58"/>
      <c r="CV465" s="52"/>
      <c r="CW465" s="52"/>
      <c r="CX465" s="52"/>
      <c r="CY465" s="52"/>
      <c r="CZ465" s="52"/>
      <c r="DA465" s="52"/>
      <c r="DB465" s="52"/>
    </row>
    <row r="466" spans="1:106" ht="12.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211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  <c r="CS466" s="52"/>
      <c r="CT466" s="52"/>
      <c r="CU466" s="58"/>
      <c r="CV466" s="52"/>
      <c r="CW466" s="52"/>
      <c r="CX466" s="52"/>
      <c r="CY466" s="52"/>
      <c r="CZ466" s="52"/>
      <c r="DA466" s="52"/>
      <c r="DB466" s="52"/>
    </row>
    <row r="467" spans="1:106" ht="12.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211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  <c r="CS467" s="52"/>
      <c r="CT467" s="52"/>
      <c r="CU467" s="58"/>
      <c r="CV467" s="52"/>
      <c r="CW467" s="52"/>
      <c r="CX467" s="52"/>
      <c r="CY467" s="52"/>
      <c r="CZ467" s="52"/>
      <c r="DA467" s="52"/>
      <c r="DB467" s="52"/>
    </row>
    <row r="468" spans="1:106" ht="12.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211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2"/>
      <c r="CQ468" s="52"/>
      <c r="CR468" s="52"/>
      <c r="CS468" s="52"/>
      <c r="CT468" s="52"/>
      <c r="CU468" s="58"/>
      <c r="CV468" s="52"/>
      <c r="CW468" s="52"/>
      <c r="CX468" s="52"/>
      <c r="CY468" s="52"/>
      <c r="CZ468" s="52"/>
      <c r="DA468" s="52"/>
      <c r="DB468" s="52"/>
    </row>
    <row r="469" spans="1:106" ht="12.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211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  <c r="CS469" s="52"/>
      <c r="CT469" s="52"/>
      <c r="CU469" s="58"/>
      <c r="CV469" s="52"/>
      <c r="CW469" s="52"/>
      <c r="CX469" s="52"/>
      <c r="CY469" s="52"/>
      <c r="CZ469" s="52"/>
      <c r="DA469" s="52"/>
      <c r="DB469" s="52"/>
    </row>
    <row r="470" spans="1:106" ht="12.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211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8"/>
      <c r="CV470" s="52"/>
      <c r="CW470" s="52"/>
      <c r="CX470" s="52"/>
      <c r="CY470" s="52"/>
      <c r="CZ470" s="52"/>
      <c r="DA470" s="52"/>
      <c r="DB470" s="52"/>
    </row>
    <row r="471" spans="1:106" ht="12.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211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  <c r="CS471" s="52"/>
      <c r="CT471" s="52"/>
      <c r="CU471" s="58"/>
      <c r="CV471" s="52"/>
      <c r="CW471" s="52"/>
      <c r="CX471" s="52"/>
      <c r="CY471" s="52"/>
      <c r="CZ471" s="52"/>
      <c r="DA471" s="52"/>
      <c r="DB471" s="52"/>
    </row>
    <row r="472" spans="1:106" ht="12.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211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  <c r="CS472" s="52"/>
      <c r="CT472" s="52"/>
      <c r="CU472" s="58"/>
      <c r="CV472" s="52"/>
      <c r="CW472" s="52"/>
      <c r="CX472" s="52"/>
      <c r="CY472" s="52"/>
      <c r="CZ472" s="52"/>
      <c r="DA472" s="52"/>
      <c r="DB472" s="52"/>
    </row>
    <row r="473" spans="1:106" ht="12.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211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  <c r="CS473" s="52"/>
      <c r="CT473" s="52"/>
      <c r="CU473" s="58"/>
      <c r="CV473" s="52"/>
      <c r="CW473" s="52"/>
      <c r="CX473" s="52"/>
      <c r="CY473" s="52"/>
      <c r="CZ473" s="52"/>
      <c r="DA473" s="52"/>
      <c r="DB473" s="52"/>
    </row>
    <row r="474" spans="1:106" ht="12.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211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  <c r="CS474" s="52"/>
      <c r="CT474" s="52"/>
      <c r="CU474" s="58"/>
      <c r="CV474" s="52"/>
      <c r="CW474" s="52"/>
      <c r="CX474" s="52"/>
      <c r="CY474" s="52"/>
      <c r="CZ474" s="52"/>
      <c r="DA474" s="52"/>
      <c r="DB474" s="52"/>
    </row>
    <row r="475" spans="1:106" ht="12.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211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2"/>
      <c r="CQ475" s="52"/>
      <c r="CR475" s="52"/>
      <c r="CS475" s="52"/>
      <c r="CT475" s="52"/>
      <c r="CU475" s="58"/>
      <c r="CV475" s="52"/>
      <c r="CW475" s="52"/>
      <c r="CX475" s="52"/>
      <c r="CY475" s="52"/>
      <c r="CZ475" s="52"/>
      <c r="DA475" s="52"/>
      <c r="DB475" s="52"/>
    </row>
    <row r="476" spans="1:106" ht="12.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211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  <c r="CS476" s="52"/>
      <c r="CT476" s="52"/>
      <c r="CU476" s="58"/>
      <c r="CV476" s="52"/>
      <c r="CW476" s="52"/>
      <c r="CX476" s="52"/>
      <c r="CY476" s="52"/>
      <c r="CZ476" s="52"/>
      <c r="DA476" s="52"/>
      <c r="DB476" s="52"/>
    </row>
    <row r="477" spans="1:106" ht="12.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211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2"/>
      <c r="CQ477" s="52"/>
      <c r="CR477" s="52"/>
      <c r="CS477" s="52"/>
      <c r="CT477" s="52"/>
      <c r="CU477" s="58"/>
      <c r="CV477" s="52"/>
      <c r="CW477" s="52"/>
      <c r="CX477" s="52"/>
      <c r="CY477" s="52"/>
      <c r="CZ477" s="52"/>
      <c r="DA477" s="52"/>
      <c r="DB477" s="52"/>
    </row>
    <row r="478" spans="1:106" ht="12.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211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2"/>
      <c r="CQ478" s="52"/>
      <c r="CR478" s="52"/>
      <c r="CS478" s="52"/>
      <c r="CT478" s="52"/>
      <c r="CU478" s="58"/>
      <c r="CV478" s="52"/>
      <c r="CW478" s="52"/>
      <c r="CX478" s="52"/>
      <c r="CY478" s="52"/>
      <c r="CZ478" s="52"/>
      <c r="DA478" s="52"/>
      <c r="DB478" s="52"/>
    </row>
    <row r="479" spans="1:106" ht="12.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211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  <c r="CS479" s="52"/>
      <c r="CT479" s="52"/>
      <c r="CU479" s="58"/>
      <c r="CV479" s="52"/>
      <c r="CW479" s="52"/>
      <c r="CX479" s="52"/>
      <c r="CY479" s="52"/>
      <c r="CZ479" s="52"/>
      <c r="DA479" s="52"/>
      <c r="DB479" s="52"/>
    </row>
    <row r="480" spans="1:106" ht="12.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211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2"/>
      <c r="CQ480" s="52"/>
      <c r="CR480" s="52"/>
      <c r="CS480" s="52"/>
      <c r="CT480" s="52"/>
      <c r="CU480" s="58"/>
      <c r="CV480" s="52"/>
      <c r="CW480" s="52"/>
      <c r="CX480" s="52"/>
      <c r="CY480" s="52"/>
      <c r="CZ480" s="52"/>
      <c r="DA480" s="52"/>
      <c r="DB480" s="52"/>
    </row>
    <row r="481" spans="1:106" ht="12.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211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2"/>
      <c r="CQ481" s="52"/>
      <c r="CR481" s="52"/>
      <c r="CS481" s="52"/>
      <c r="CT481" s="52"/>
      <c r="CU481" s="58"/>
      <c r="CV481" s="52"/>
      <c r="CW481" s="52"/>
      <c r="CX481" s="52"/>
      <c r="CY481" s="52"/>
      <c r="CZ481" s="52"/>
      <c r="DA481" s="52"/>
      <c r="DB481" s="52"/>
    </row>
    <row r="482" spans="1:106" ht="12.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211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  <c r="CS482" s="52"/>
      <c r="CT482" s="52"/>
      <c r="CU482" s="58"/>
      <c r="CV482" s="52"/>
      <c r="CW482" s="52"/>
      <c r="CX482" s="52"/>
      <c r="CY482" s="52"/>
      <c r="CZ482" s="52"/>
      <c r="DA482" s="52"/>
      <c r="DB482" s="52"/>
    </row>
    <row r="483" spans="1:106" ht="12.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211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2"/>
      <c r="CQ483" s="52"/>
      <c r="CR483" s="52"/>
      <c r="CS483" s="52"/>
      <c r="CT483" s="52"/>
      <c r="CU483" s="58"/>
      <c r="CV483" s="52"/>
      <c r="CW483" s="52"/>
      <c r="CX483" s="52"/>
      <c r="CY483" s="52"/>
      <c r="CZ483" s="52"/>
      <c r="DA483" s="52"/>
      <c r="DB483" s="52"/>
    </row>
    <row r="484" spans="1:106" ht="12.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211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2"/>
      <c r="CQ484" s="52"/>
      <c r="CR484" s="52"/>
      <c r="CS484" s="52"/>
      <c r="CT484" s="52"/>
      <c r="CU484" s="58"/>
      <c r="CV484" s="52"/>
      <c r="CW484" s="52"/>
      <c r="CX484" s="52"/>
      <c r="CY484" s="52"/>
      <c r="CZ484" s="52"/>
      <c r="DA484" s="52"/>
      <c r="DB484" s="52"/>
    </row>
    <row r="485" spans="1:106" ht="12.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211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  <c r="CS485" s="52"/>
      <c r="CT485" s="52"/>
      <c r="CU485" s="58"/>
      <c r="CV485" s="52"/>
      <c r="CW485" s="52"/>
      <c r="CX485" s="52"/>
      <c r="CY485" s="52"/>
      <c r="CZ485" s="52"/>
      <c r="DA485" s="52"/>
      <c r="DB485" s="52"/>
    </row>
    <row r="486" spans="1:106" ht="12.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211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2"/>
      <c r="CQ486" s="52"/>
      <c r="CR486" s="52"/>
      <c r="CS486" s="52"/>
      <c r="CT486" s="52"/>
      <c r="CU486" s="58"/>
      <c r="CV486" s="52"/>
      <c r="CW486" s="52"/>
      <c r="CX486" s="52"/>
      <c r="CY486" s="52"/>
      <c r="CZ486" s="52"/>
      <c r="DA486" s="52"/>
      <c r="DB486" s="52"/>
    </row>
    <row r="487" spans="1:106" ht="12.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211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52"/>
      <c r="CU487" s="58"/>
      <c r="CV487" s="52"/>
      <c r="CW487" s="52"/>
      <c r="CX487" s="52"/>
      <c r="CY487" s="52"/>
      <c r="CZ487" s="52"/>
      <c r="DA487" s="52"/>
      <c r="DB487" s="52"/>
    </row>
    <row r="488" spans="1:106" ht="12.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211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  <c r="CS488" s="52"/>
      <c r="CT488" s="52"/>
      <c r="CU488" s="58"/>
      <c r="CV488" s="52"/>
      <c r="CW488" s="52"/>
      <c r="CX488" s="52"/>
      <c r="CY488" s="52"/>
      <c r="CZ488" s="52"/>
      <c r="DA488" s="52"/>
      <c r="DB488" s="52"/>
    </row>
    <row r="489" spans="1:106" ht="12.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211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52"/>
      <c r="CU489" s="58"/>
      <c r="CV489" s="52"/>
      <c r="CW489" s="52"/>
      <c r="CX489" s="52"/>
      <c r="CY489" s="52"/>
      <c r="CZ489" s="52"/>
      <c r="DA489" s="52"/>
      <c r="DB489" s="52"/>
    </row>
    <row r="490" spans="1:106" ht="12.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211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52"/>
      <c r="CU490" s="58"/>
      <c r="CV490" s="52"/>
      <c r="CW490" s="52"/>
      <c r="CX490" s="52"/>
      <c r="CY490" s="52"/>
      <c r="CZ490" s="52"/>
      <c r="DA490" s="52"/>
      <c r="DB490" s="52"/>
    </row>
    <row r="491" spans="1:106" ht="12.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211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52"/>
      <c r="CU491" s="58"/>
      <c r="CV491" s="52"/>
      <c r="CW491" s="52"/>
      <c r="CX491" s="52"/>
      <c r="CY491" s="52"/>
      <c r="CZ491" s="52"/>
      <c r="DA491" s="52"/>
      <c r="DB491" s="52"/>
    </row>
    <row r="492" spans="1:106" ht="12.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211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52"/>
      <c r="CU492" s="58"/>
      <c r="CV492" s="52"/>
      <c r="CW492" s="52"/>
      <c r="CX492" s="52"/>
      <c r="CY492" s="52"/>
      <c r="CZ492" s="52"/>
      <c r="DA492" s="52"/>
      <c r="DB492" s="52"/>
    </row>
    <row r="493" spans="1:106" ht="12.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211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52"/>
      <c r="CU493" s="58"/>
      <c r="CV493" s="52"/>
      <c r="CW493" s="52"/>
      <c r="CX493" s="52"/>
      <c r="CY493" s="52"/>
      <c r="CZ493" s="52"/>
      <c r="DA493" s="52"/>
      <c r="DB493" s="52"/>
    </row>
    <row r="494" spans="1:106" ht="12.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211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52"/>
      <c r="CU494" s="58"/>
      <c r="CV494" s="52"/>
      <c r="CW494" s="52"/>
      <c r="CX494" s="52"/>
      <c r="CY494" s="52"/>
      <c r="CZ494" s="52"/>
      <c r="DA494" s="52"/>
      <c r="DB494" s="52"/>
    </row>
    <row r="495" spans="1:106" ht="12.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211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52"/>
      <c r="CU495" s="58"/>
      <c r="CV495" s="52"/>
      <c r="CW495" s="52"/>
      <c r="CX495" s="52"/>
      <c r="CY495" s="52"/>
      <c r="CZ495" s="52"/>
      <c r="DA495" s="52"/>
      <c r="DB495" s="52"/>
    </row>
    <row r="496" spans="1:106" ht="12.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211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52"/>
      <c r="CU496" s="58"/>
      <c r="CV496" s="52"/>
      <c r="CW496" s="52"/>
      <c r="CX496" s="52"/>
      <c r="CY496" s="52"/>
      <c r="CZ496" s="52"/>
      <c r="DA496" s="52"/>
      <c r="DB496" s="52"/>
    </row>
    <row r="497" spans="1:106" ht="12.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211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52"/>
      <c r="CU497" s="58"/>
      <c r="CV497" s="52"/>
      <c r="CW497" s="52"/>
      <c r="CX497" s="52"/>
      <c r="CY497" s="52"/>
      <c r="CZ497" s="52"/>
      <c r="DA497" s="52"/>
      <c r="DB497" s="52"/>
    </row>
    <row r="498" spans="1:106" ht="12.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211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52"/>
      <c r="CU498" s="58"/>
      <c r="CV498" s="52"/>
      <c r="CW498" s="52"/>
      <c r="CX498" s="52"/>
      <c r="CY498" s="52"/>
      <c r="CZ498" s="52"/>
      <c r="DA498" s="52"/>
      <c r="DB498" s="52"/>
    </row>
    <row r="499" spans="1:106" ht="12.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211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52"/>
      <c r="CU499" s="58"/>
      <c r="CV499" s="52"/>
      <c r="CW499" s="52"/>
      <c r="CX499" s="52"/>
      <c r="CY499" s="52"/>
      <c r="CZ499" s="52"/>
      <c r="DA499" s="52"/>
      <c r="DB499" s="52"/>
    </row>
    <row r="500" spans="1:106" ht="12.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211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  <c r="CS500" s="52"/>
      <c r="CT500" s="52"/>
      <c r="CU500" s="58"/>
      <c r="CV500" s="52"/>
      <c r="CW500" s="52"/>
      <c r="CX500" s="52"/>
      <c r="CY500" s="52"/>
      <c r="CZ500" s="52"/>
      <c r="DA500" s="52"/>
      <c r="DB500" s="52"/>
    </row>
    <row r="501" spans="1:106" ht="12.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211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2"/>
      <c r="CQ501" s="52"/>
      <c r="CR501" s="52"/>
      <c r="CS501" s="52"/>
      <c r="CT501" s="52"/>
      <c r="CU501" s="58"/>
      <c r="CV501" s="52"/>
      <c r="CW501" s="52"/>
      <c r="CX501" s="52"/>
      <c r="CY501" s="52"/>
      <c r="CZ501" s="52"/>
      <c r="DA501" s="52"/>
      <c r="DB501" s="52"/>
    </row>
    <row r="502" spans="1:106" ht="12.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211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2"/>
      <c r="CQ502" s="52"/>
      <c r="CR502" s="52"/>
      <c r="CS502" s="52"/>
      <c r="CT502" s="52"/>
      <c r="CU502" s="58"/>
      <c r="CV502" s="52"/>
      <c r="CW502" s="52"/>
      <c r="CX502" s="52"/>
      <c r="CY502" s="52"/>
      <c r="CZ502" s="52"/>
      <c r="DA502" s="52"/>
      <c r="DB502" s="52"/>
    </row>
    <row r="503" spans="1:106" ht="12.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211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8"/>
      <c r="CV503" s="52"/>
      <c r="CW503" s="52"/>
      <c r="CX503" s="52"/>
      <c r="CY503" s="52"/>
      <c r="CZ503" s="52"/>
      <c r="DA503" s="52"/>
      <c r="DB503" s="52"/>
    </row>
    <row r="504" spans="1:106" ht="12.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211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  <c r="CS504" s="52"/>
      <c r="CT504" s="52"/>
      <c r="CU504" s="58"/>
      <c r="CV504" s="52"/>
      <c r="CW504" s="52"/>
      <c r="CX504" s="52"/>
      <c r="CY504" s="52"/>
      <c r="CZ504" s="52"/>
      <c r="DA504" s="52"/>
      <c r="DB504" s="52"/>
    </row>
    <row r="505" spans="1:106" ht="12.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211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  <c r="CS505" s="52"/>
      <c r="CT505" s="52"/>
      <c r="CU505" s="58"/>
      <c r="CV505" s="52"/>
      <c r="CW505" s="52"/>
      <c r="CX505" s="52"/>
      <c r="CY505" s="52"/>
      <c r="CZ505" s="52"/>
      <c r="DA505" s="52"/>
      <c r="DB505" s="52"/>
    </row>
    <row r="506" spans="1:106" ht="12.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211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8"/>
      <c r="CV506" s="52"/>
      <c r="CW506" s="52"/>
      <c r="CX506" s="52"/>
      <c r="CY506" s="52"/>
      <c r="CZ506" s="52"/>
      <c r="DA506" s="52"/>
      <c r="DB506" s="52"/>
    </row>
    <row r="507" spans="1:106" ht="12.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211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2"/>
      <c r="CQ507" s="52"/>
      <c r="CR507" s="52"/>
      <c r="CS507" s="52"/>
      <c r="CT507" s="52"/>
      <c r="CU507" s="58"/>
      <c r="CV507" s="52"/>
      <c r="CW507" s="52"/>
      <c r="CX507" s="52"/>
      <c r="CY507" s="52"/>
      <c r="CZ507" s="52"/>
      <c r="DA507" s="52"/>
      <c r="DB507" s="52"/>
    </row>
    <row r="508" spans="1:106" ht="12.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211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2"/>
      <c r="CQ508" s="52"/>
      <c r="CR508" s="52"/>
      <c r="CS508" s="52"/>
      <c r="CT508" s="52"/>
      <c r="CU508" s="58"/>
      <c r="CV508" s="52"/>
      <c r="CW508" s="52"/>
      <c r="CX508" s="52"/>
      <c r="CY508" s="52"/>
      <c r="CZ508" s="52"/>
      <c r="DA508" s="52"/>
      <c r="DB508" s="52"/>
    </row>
    <row r="509" spans="1:106" ht="12.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211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  <c r="CS509" s="52"/>
      <c r="CT509" s="52"/>
      <c r="CU509" s="58"/>
      <c r="CV509" s="52"/>
      <c r="CW509" s="52"/>
      <c r="CX509" s="52"/>
      <c r="CY509" s="52"/>
      <c r="CZ509" s="52"/>
      <c r="DA509" s="52"/>
      <c r="DB509" s="52"/>
    </row>
    <row r="510" spans="1:106" ht="12.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211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  <c r="CS510" s="52"/>
      <c r="CT510" s="52"/>
      <c r="CU510" s="58"/>
      <c r="CV510" s="52"/>
      <c r="CW510" s="52"/>
      <c r="CX510" s="52"/>
      <c r="CY510" s="52"/>
      <c r="CZ510" s="52"/>
      <c r="DA510" s="52"/>
      <c r="DB510" s="52"/>
    </row>
    <row r="511" spans="1:106" ht="12.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211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2"/>
      <c r="CQ511" s="52"/>
      <c r="CR511" s="52"/>
      <c r="CS511" s="52"/>
      <c r="CT511" s="52"/>
      <c r="CU511" s="58"/>
      <c r="CV511" s="52"/>
      <c r="CW511" s="52"/>
      <c r="CX511" s="52"/>
      <c r="CY511" s="52"/>
      <c r="CZ511" s="52"/>
      <c r="DA511" s="52"/>
      <c r="DB511" s="52"/>
    </row>
    <row r="512" spans="1:106" ht="12.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211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8"/>
      <c r="CV512" s="52"/>
      <c r="CW512" s="52"/>
      <c r="CX512" s="52"/>
      <c r="CY512" s="52"/>
      <c r="CZ512" s="52"/>
      <c r="DA512" s="52"/>
      <c r="DB512" s="52"/>
    </row>
    <row r="513" spans="1:106" ht="12.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211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  <c r="CS513" s="52"/>
      <c r="CT513" s="52"/>
      <c r="CU513" s="58"/>
      <c r="CV513" s="52"/>
      <c r="CW513" s="52"/>
      <c r="CX513" s="52"/>
      <c r="CY513" s="52"/>
      <c r="CZ513" s="52"/>
      <c r="DA513" s="52"/>
      <c r="DB513" s="52"/>
    </row>
    <row r="514" spans="1:106" ht="12.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211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2"/>
      <c r="CQ514" s="52"/>
      <c r="CR514" s="52"/>
      <c r="CS514" s="52"/>
      <c r="CT514" s="52"/>
      <c r="CU514" s="58"/>
      <c r="CV514" s="52"/>
      <c r="CW514" s="52"/>
      <c r="CX514" s="52"/>
      <c r="CY514" s="52"/>
      <c r="CZ514" s="52"/>
      <c r="DA514" s="52"/>
      <c r="DB514" s="52"/>
    </row>
    <row r="515" spans="1:106" ht="12.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211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  <c r="CS515" s="52"/>
      <c r="CT515" s="52"/>
      <c r="CU515" s="58"/>
      <c r="CV515" s="52"/>
      <c r="CW515" s="52"/>
      <c r="CX515" s="52"/>
      <c r="CY515" s="52"/>
      <c r="CZ515" s="52"/>
      <c r="DA515" s="52"/>
      <c r="DB515" s="52"/>
    </row>
    <row r="516" spans="1:106" ht="12.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211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2"/>
      <c r="CQ516" s="52"/>
      <c r="CR516" s="52"/>
      <c r="CS516" s="52"/>
      <c r="CT516" s="52"/>
      <c r="CU516" s="58"/>
      <c r="CV516" s="52"/>
      <c r="CW516" s="52"/>
      <c r="CX516" s="52"/>
      <c r="CY516" s="52"/>
      <c r="CZ516" s="52"/>
      <c r="DA516" s="52"/>
      <c r="DB516" s="52"/>
    </row>
    <row r="517" spans="1:106" ht="12.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211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2"/>
      <c r="CQ517" s="52"/>
      <c r="CR517" s="52"/>
      <c r="CS517" s="52"/>
      <c r="CT517" s="52"/>
      <c r="CU517" s="58"/>
      <c r="CV517" s="52"/>
      <c r="CW517" s="52"/>
      <c r="CX517" s="52"/>
      <c r="CY517" s="52"/>
      <c r="CZ517" s="52"/>
      <c r="DA517" s="52"/>
      <c r="DB517" s="52"/>
    </row>
    <row r="518" spans="1:106" ht="12.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211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  <c r="CS518" s="52"/>
      <c r="CT518" s="52"/>
      <c r="CU518" s="58"/>
      <c r="CV518" s="52"/>
      <c r="CW518" s="52"/>
      <c r="CX518" s="52"/>
      <c r="CY518" s="52"/>
      <c r="CZ518" s="52"/>
      <c r="DA518" s="52"/>
      <c r="DB518" s="52"/>
    </row>
    <row r="519" spans="1:106" ht="12.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211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2"/>
      <c r="CQ519" s="52"/>
      <c r="CR519" s="52"/>
      <c r="CS519" s="52"/>
      <c r="CT519" s="52"/>
      <c r="CU519" s="58"/>
      <c r="CV519" s="52"/>
      <c r="CW519" s="52"/>
      <c r="CX519" s="52"/>
      <c r="CY519" s="52"/>
      <c r="CZ519" s="52"/>
      <c r="DA519" s="52"/>
      <c r="DB519" s="52"/>
    </row>
    <row r="520" spans="1:106" ht="12.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211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2"/>
      <c r="CQ520" s="52"/>
      <c r="CR520" s="52"/>
      <c r="CS520" s="52"/>
      <c r="CT520" s="52"/>
      <c r="CU520" s="58"/>
      <c r="CV520" s="52"/>
      <c r="CW520" s="52"/>
      <c r="CX520" s="52"/>
      <c r="CY520" s="52"/>
      <c r="CZ520" s="52"/>
      <c r="DA520" s="52"/>
      <c r="DB520" s="52"/>
    </row>
    <row r="521" spans="1:106" ht="12.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211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  <c r="CS521" s="52"/>
      <c r="CT521" s="52"/>
      <c r="CU521" s="58"/>
      <c r="CV521" s="52"/>
      <c r="CW521" s="52"/>
      <c r="CX521" s="52"/>
      <c r="CY521" s="52"/>
      <c r="CZ521" s="52"/>
      <c r="DA521" s="52"/>
      <c r="DB521" s="52"/>
    </row>
    <row r="522" spans="1:106" ht="12.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211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2"/>
      <c r="CQ522" s="52"/>
      <c r="CR522" s="52"/>
      <c r="CS522" s="52"/>
      <c r="CT522" s="52"/>
      <c r="CU522" s="58"/>
      <c r="CV522" s="52"/>
      <c r="CW522" s="52"/>
      <c r="CX522" s="52"/>
      <c r="CY522" s="52"/>
      <c r="CZ522" s="52"/>
      <c r="DA522" s="52"/>
      <c r="DB522" s="52"/>
    </row>
    <row r="523" spans="1:106" ht="12.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211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2"/>
      <c r="CQ523" s="52"/>
      <c r="CR523" s="52"/>
      <c r="CS523" s="52"/>
      <c r="CT523" s="52"/>
      <c r="CU523" s="58"/>
      <c r="CV523" s="52"/>
      <c r="CW523" s="52"/>
      <c r="CX523" s="52"/>
      <c r="CY523" s="52"/>
      <c r="CZ523" s="52"/>
      <c r="DA523" s="52"/>
      <c r="DB523" s="52"/>
    </row>
    <row r="524" spans="1:106" ht="12.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211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  <c r="CS524" s="52"/>
      <c r="CT524" s="52"/>
      <c r="CU524" s="58"/>
      <c r="CV524" s="52"/>
      <c r="CW524" s="52"/>
      <c r="CX524" s="52"/>
      <c r="CY524" s="52"/>
      <c r="CZ524" s="52"/>
      <c r="DA524" s="52"/>
      <c r="DB524" s="52"/>
    </row>
    <row r="525" spans="1:106" ht="12.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211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2"/>
      <c r="CQ525" s="52"/>
      <c r="CR525" s="52"/>
      <c r="CS525" s="52"/>
      <c r="CT525" s="52"/>
      <c r="CU525" s="58"/>
      <c r="CV525" s="52"/>
      <c r="CW525" s="52"/>
      <c r="CX525" s="52"/>
      <c r="CY525" s="52"/>
      <c r="CZ525" s="52"/>
      <c r="DA525" s="52"/>
      <c r="DB525" s="52"/>
    </row>
    <row r="526" spans="1:106" ht="12.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211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2"/>
      <c r="CQ526" s="52"/>
      <c r="CR526" s="52"/>
      <c r="CS526" s="52"/>
      <c r="CT526" s="52"/>
      <c r="CU526" s="58"/>
      <c r="CV526" s="52"/>
      <c r="CW526" s="52"/>
      <c r="CX526" s="52"/>
      <c r="CY526" s="52"/>
      <c r="CZ526" s="52"/>
      <c r="DA526" s="52"/>
      <c r="DB526" s="52"/>
    </row>
    <row r="527" spans="1:106" ht="12.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211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52"/>
      <c r="CU527" s="58"/>
      <c r="CV527" s="52"/>
      <c r="CW527" s="52"/>
      <c r="CX527" s="52"/>
      <c r="CY527" s="52"/>
      <c r="CZ527" s="52"/>
      <c r="DA527" s="52"/>
      <c r="DB527" s="52"/>
    </row>
    <row r="528" spans="1:106" ht="12.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211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2"/>
      <c r="CQ528" s="52"/>
      <c r="CR528" s="52"/>
      <c r="CS528" s="52"/>
      <c r="CT528" s="52"/>
      <c r="CU528" s="58"/>
      <c r="CV528" s="52"/>
      <c r="CW528" s="52"/>
      <c r="CX528" s="52"/>
      <c r="CY528" s="52"/>
      <c r="CZ528" s="52"/>
      <c r="DA528" s="52"/>
      <c r="DB528" s="52"/>
    </row>
    <row r="529" spans="1:106" ht="12.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211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52"/>
      <c r="CU529" s="58"/>
      <c r="CV529" s="52"/>
      <c r="CW529" s="52"/>
      <c r="CX529" s="52"/>
      <c r="CY529" s="52"/>
      <c r="CZ529" s="52"/>
      <c r="DA529" s="52"/>
      <c r="DB529" s="52"/>
    </row>
    <row r="530" spans="1:106" ht="12.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211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52"/>
      <c r="CU530" s="58"/>
      <c r="CV530" s="52"/>
      <c r="CW530" s="52"/>
      <c r="CX530" s="52"/>
      <c r="CY530" s="52"/>
      <c r="CZ530" s="52"/>
      <c r="DA530" s="52"/>
      <c r="DB530" s="52"/>
    </row>
    <row r="531" spans="1:106" ht="12.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211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52"/>
      <c r="CU531" s="58"/>
      <c r="CV531" s="52"/>
      <c r="CW531" s="52"/>
      <c r="CX531" s="52"/>
      <c r="CY531" s="52"/>
      <c r="CZ531" s="52"/>
      <c r="DA531" s="52"/>
      <c r="DB531" s="52"/>
    </row>
    <row r="532" spans="1:106" ht="12.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211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52"/>
      <c r="CU532" s="58"/>
      <c r="CV532" s="52"/>
      <c r="CW532" s="52"/>
      <c r="CX532" s="52"/>
      <c r="CY532" s="52"/>
      <c r="CZ532" s="52"/>
      <c r="DA532" s="52"/>
      <c r="DB532" s="52"/>
    </row>
    <row r="533" spans="1:106" ht="12.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211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52"/>
      <c r="CU533" s="58"/>
      <c r="CV533" s="52"/>
      <c r="CW533" s="52"/>
      <c r="CX533" s="52"/>
      <c r="CY533" s="52"/>
      <c r="CZ533" s="52"/>
      <c r="DA533" s="52"/>
      <c r="DB533" s="52"/>
    </row>
    <row r="534" spans="1:106" ht="12.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211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52"/>
      <c r="CU534" s="58"/>
      <c r="CV534" s="52"/>
      <c r="CW534" s="52"/>
      <c r="CX534" s="52"/>
      <c r="CY534" s="52"/>
      <c r="CZ534" s="52"/>
      <c r="DA534" s="52"/>
      <c r="DB534" s="52"/>
    </row>
    <row r="535" spans="1:106" ht="12.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211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52"/>
      <c r="CU535" s="58"/>
      <c r="CV535" s="52"/>
      <c r="CW535" s="52"/>
      <c r="CX535" s="52"/>
      <c r="CY535" s="52"/>
      <c r="CZ535" s="52"/>
      <c r="DA535" s="52"/>
      <c r="DB535" s="52"/>
    </row>
    <row r="536" spans="1:106" ht="12.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211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52"/>
      <c r="CU536" s="58"/>
      <c r="CV536" s="52"/>
      <c r="CW536" s="52"/>
      <c r="CX536" s="52"/>
      <c r="CY536" s="52"/>
      <c r="CZ536" s="52"/>
      <c r="DA536" s="52"/>
      <c r="DB536" s="52"/>
    </row>
    <row r="537" spans="1:106" ht="12.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211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52"/>
      <c r="CU537" s="58"/>
      <c r="CV537" s="52"/>
      <c r="CW537" s="52"/>
      <c r="CX537" s="52"/>
      <c r="CY537" s="52"/>
      <c r="CZ537" s="52"/>
      <c r="DA537" s="52"/>
      <c r="DB537" s="52"/>
    </row>
    <row r="538" spans="1:106" ht="12.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211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52"/>
      <c r="CU538" s="58"/>
      <c r="CV538" s="52"/>
      <c r="CW538" s="52"/>
      <c r="CX538" s="52"/>
      <c r="CY538" s="52"/>
      <c r="CZ538" s="52"/>
      <c r="DA538" s="52"/>
      <c r="DB538" s="52"/>
    </row>
    <row r="539" spans="1:106" ht="12.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211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8"/>
      <c r="CV539" s="52"/>
      <c r="CW539" s="52"/>
      <c r="CX539" s="52"/>
      <c r="CY539" s="52"/>
      <c r="CZ539" s="52"/>
      <c r="DA539" s="52"/>
      <c r="DB539" s="52"/>
    </row>
    <row r="540" spans="1:106" ht="12.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211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  <c r="CS540" s="52"/>
      <c r="CT540" s="52"/>
      <c r="CU540" s="58"/>
      <c r="CV540" s="52"/>
      <c r="CW540" s="52"/>
      <c r="CX540" s="52"/>
      <c r="CY540" s="52"/>
      <c r="CZ540" s="52"/>
      <c r="DA540" s="52"/>
      <c r="DB540" s="52"/>
    </row>
    <row r="541" spans="1:106" ht="12.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211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  <c r="CS541" s="52"/>
      <c r="CT541" s="52"/>
      <c r="CU541" s="58"/>
      <c r="CV541" s="52"/>
      <c r="CW541" s="52"/>
      <c r="CX541" s="52"/>
      <c r="CY541" s="52"/>
      <c r="CZ541" s="52"/>
      <c r="DA541" s="52"/>
      <c r="DB541" s="52"/>
    </row>
    <row r="542" spans="1:106" ht="12.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211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8"/>
      <c r="CV542" s="52"/>
      <c r="CW542" s="52"/>
      <c r="CX542" s="52"/>
      <c r="CY542" s="52"/>
      <c r="CZ542" s="52"/>
      <c r="DA542" s="52"/>
      <c r="DB542" s="52"/>
    </row>
    <row r="543" spans="1:106" ht="12.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211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2"/>
      <c r="CQ543" s="52"/>
      <c r="CR543" s="52"/>
      <c r="CS543" s="52"/>
      <c r="CT543" s="52"/>
      <c r="CU543" s="58"/>
      <c r="CV543" s="52"/>
      <c r="CW543" s="52"/>
      <c r="CX543" s="52"/>
      <c r="CY543" s="52"/>
      <c r="CZ543" s="52"/>
      <c r="DA543" s="52"/>
      <c r="DB543" s="52"/>
    </row>
    <row r="544" spans="1:106" ht="12.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211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2"/>
      <c r="CQ544" s="52"/>
      <c r="CR544" s="52"/>
      <c r="CS544" s="52"/>
      <c r="CT544" s="52"/>
      <c r="CU544" s="58"/>
      <c r="CV544" s="52"/>
      <c r="CW544" s="52"/>
      <c r="CX544" s="52"/>
      <c r="CY544" s="52"/>
      <c r="CZ544" s="52"/>
      <c r="DA544" s="52"/>
      <c r="DB544" s="52"/>
    </row>
    <row r="545" spans="1:106" ht="12.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211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  <c r="CS545" s="52"/>
      <c r="CT545" s="52"/>
      <c r="CU545" s="58"/>
      <c r="CV545" s="52"/>
      <c r="CW545" s="52"/>
      <c r="CX545" s="52"/>
      <c r="CY545" s="52"/>
      <c r="CZ545" s="52"/>
      <c r="DA545" s="52"/>
      <c r="DB545" s="52"/>
    </row>
    <row r="546" spans="1:106" ht="12.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211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2"/>
      <c r="CQ546" s="52"/>
      <c r="CR546" s="52"/>
      <c r="CS546" s="52"/>
      <c r="CT546" s="52"/>
      <c r="CU546" s="58"/>
      <c r="CV546" s="52"/>
      <c r="CW546" s="52"/>
      <c r="CX546" s="52"/>
      <c r="CY546" s="52"/>
      <c r="CZ546" s="52"/>
      <c r="DA546" s="52"/>
      <c r="DB546" s="52"/>
    </row>
    <row r="547" spans="1:106" ht="12.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211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  <c r="CS547" s="52"/>
      <c r="CT547" s="52"/>
      <c r="CU547" s="58"/>
      <c r="CV547" s="52"/>
      <c r="CW547" s="52"/>
      <c r="CX547" s="52"/>
      <c r="CY547" s="52"/>
      <c r="CZ547" s="52"/>
      <c r="DA547" s="52"/>
      <c r="DB547" s="52"/>
    </row>
    <row r="548" spans="1:106" ht="12.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211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  <c r="CS548" s="52"/>
      <c r="CT548" s="52"/>
      <c r="CU548" s="58"/>
      <c r="CV548" s="52"/>
      <c r="CW548" s="52"/>
      <c r="CX548" s="52"/>
      <c r="CY548" s="52"/>
      <c r="CZ548" s="52"/>
      <c r="DA548" s="52"/>
      <c r="DB548" s="52"/>
    </row>
    <row r="549" spans="1:106" ht="12.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211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2"/>
      <c r="CQ549" s="52"/>
      <c r="CR549" s="52"/>
      <c r="CS549" s="52"/>
      <c r="CT549" s="52"/>
      <c r="CU549" s="58"/>
      <c r="CV549" s="52"/>
      <c r="CW549" s="52"/>
      <c r="CX549" s="52"/>
      <c r="CY549" s="52"/>
      <c r="CZ549" s="52"/>
      <c r="DA549" s="52"/>
      <c r="DB549" s="52"/>
    </row>
    <row r="550" spans="1:106" ht="12.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211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2"/>
      <c r="CQ550" s="52"/>
      <c r="CR550" s="52"/>
      <c r="CS550" s="52"/>
      <c r="CT550" s="52"/>
      <c r="CU550" s="58"/>
      <c r="CV550" s="52"/>
      <c r="CW550" s="52"/>
      <c r="CX550" s="52"/>
      <c r="CY550" s="52"/>
      <c r="CZ550" s="52"/>
      <c r="DA550" s="52"/>
      <c r="DB550" s="52"/>
    </row>
    <row r="551" spans="1:106" ht="12.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211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  <c r="CS551" s="52"/>
      <c r="CT551" s="52"/>
      <c r="CU551" s="58"/>
      <c r="CV551" s="52"/>
      <c r="CW551" s="52"/>
      <c r="CX551" s="52"/>
      <c r="CY551" s="52"/>
      <c r="CZ551" s="52"/>
      <c r="DA551" s="52"/>
      <c r="DB551" s="52"/>
    </row>
    <row r="552" spans="1:106" ht="12.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211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2"/>
      <c r="CQ552" s="52"/>
      <c r="CR552" s="52"/>
      <c r="CS552" s="52"/>
      <c r="CT552" s="52"/>
      <c r="CU552" s="58"/>
      <c r="CV552" s="52"/>
      <c r="CW552" s="52"/>
      <c r="CX552" s="52"/>
      <c r="CY552" s="52"/>
      <c r="CZ552" s="52"/>
      <c r="DA552" s="52"/>
      <c r="DB552" s="52"/>
    </row>
    <row r="553" spans="1:106" ht="12.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211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  <c r="CS553" s="52"/>
      <c r="CT553" s="52"/>
      <c r="CU553" s="58"/>
      <c r="CV553" s="52"/>
      <c r="CW553" s="52"/>
      <c r="CX553" s="52"/>
      <c r="CY553" s="52"/>
      <c r="CZ553" s="52"/>
      <c r="DA553" s="52"/>
      <c r="DB553" s="52"/>
    </row>
    <row r="554" spans="1:106" ht="12.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211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  <c r="CS554" s="52"/>
      <c r="CT554" s="52"/>
      <c r="CU554" s="58"/>
      <c r="CV554" s="52"/>
      <c r="CW554" s="52"/>
      <c r="CX554" s="52"/>
      <c r="CY554" s="52"/>
      <c r="CZ554" s="52"/>
      <c r="DA554" s="52"/>
      <c r="DB554" s="52"/>
    </row>
    <row r="555" spans="1:106" ht="12.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211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  <c r="CS555" s="52"/>
      <c r="CT555" s="52"/>
      <c r="CU555" s="58"/>
      <c r="CV555" s="52"/>
      <c r="CW555" s="52"/>
      <c r="CX555" s="52"/>
      <c r="CY555" s="52"/>
      <c r="CZ555" s="52"/>
      <c r="DA555" s="52"/>
      <c r="DB555" s="52"/>
    </row>
    <row r="556" spans="1:106" ht="12.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211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2"/>
      <c r="CQ556" s="52"/>
      <c r="CR556" s="52"/>
      <c r="CS556" s="52"/>
      <c r="CT556" s="52"/>
      <c r="CU556" s="58"/>
      <c r="CV556" s="52"/>
      <c r="CW556" s="52"/>
      <c r="CX556" s="52"/>
      <c r="CY556" s="52"/>
      <c r="CZ556" s="52"/>
      <c r="DA556" s="52"/>
      <c r="DB556" s="52"/>
    </row>
    <row r="557" spans="1:106" ht="12.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211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  <c r="CS557" s="52"/>
      <c r="CT557" s="52"/>
      <c r="CU557" s="58"/>
      <c r="CV557" s="52"/>
      <c r="CW557" s="52"/>
      <c r="CX557" s="52"/>
      <c r="CY557" s="52"/>
      <c r="CZ557" s="52"/>
      <c r="DA557" s="52"/>
      <c r="DB557" s="52"/>
    </row>
    <row r="558" spans="1:106" ht="12.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211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2"/>
      <c r="CQ558" s="52"/>
      <c r="CR558" s="52"/>
      <c r="CS558" s="52"/>
      <c r="CT558" s="52"/>
      <c r="CU558" s="58"/>
      <c r="CV558" s="52"/>
      <c r="CW558" s="52"/>
      <c r="CX558" s="52"/>
      <c r="CY558" s="52"/>
      <c r="CZ558" s="52"/>
      <c r="DA558" s="52"/>
      <c r="DB558" s="52"/>
    </row>
    <row r="559" spans="1:106" ht="12.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211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2"/>
      <c r="CQ559" s="52"/>
      <c r="CR559" s="52"/>
      <c r="CS559" s="52"/>
      <c r="CT559" s="52"/>
      <c r="CU559" s="58"/>
      <c r="CV559" s="52"/>
      <c r="CW559" s="52"/>
      <c r="CX559" s="52"/>
      <c r="CY559" s="52"/>
      <c r="CZ559" s="52"/>
      <c r="DA559" s="52"/>
      <c r="DB559" s="52"/>
    </row>
    <row r="560" spans="1:106" ht="12.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211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  <c r="CS560" s="52"/>
      <c r="CT560" s="52"/>
      <c r="CU560" s="58"/>
      <c r="CV560" s="52"/>
      <c r="CW560" s="52"/>
      <c r="CX560" s="52"/>
      <c r="CY560" s="52"/>
      <c r="CZ560" s="52"/>
      <c r="DA560" s="52"/>
      <c r="DB560" s="52"/>
    </row>
    <row r="561" spans="1:106" ht="12.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211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2"/>
      <c r="CQ561" s="52"/>
      <c r="CR561" s="52"/>
      <c r="CS561" s="52"/>
      <c r="CT561" s="52"/>
      <c r="CU561" s="58"/>
      <c r="CV561" s="52"/>
      <c r="CW561" s="52"/>
      <c r="CX561" s="52"/>
      <c r="CY561" s="52"/>
      <c r="CZ561" s="52"/>
      <c r="DA561" s="52"/>
      <c r="DB561" s="52"/>
    </row>
    <row r="562" spans="1:106" ht="12.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211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  <c r="CS562" s="52"/>
      <c r="CT562" s="52"/>
      <c r="CU562" s="58"/>
      <c r="CV562" s="52"/>
      <c r="CW562" s="52"/>
      <c r="CX562" s="52"/>
      <c r="CY562" s="52"/>
      <c r="CZ562" s="52"/>
      <c r="DA562" s="52"/>
      <c r="DB562" s="52"/>
    </row>
    <row r="563" spans="1:106" ht="12.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211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  <c r="CS563" s="52"/>
      <c r="CT563" s="52"/>
      <c r="CU563" s="58"/>
      <c r="CV563" s="52"/>
      <c r="CW563" s="52"/>
      <c r="CX563" s="52"/>
      <c r="CY563" s="52"/>
      <c r="CZ563" s="52"/>
      <c r="DA563" s="52"/>
      <c r="DB563" s="52"/>
    </row>
    <row r="564" spans="1:106" ht="12.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211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2"/>
      <c r="CQ564" s="52"/>
      <c r="CR564" s="52"/>
      <c r="CS564" s="52"/>
      <c r="CT564" s="52"/>
      <c r="CU564" s="58"/>
      <c r="CV564" s="52"/>
      <c r="CW564" s="52"/>
      <c r="CX564" s="52"/>
      <c r="CY564" s="52"/>
      <c r="CZ564" s="52"/>
      <c r="DA564" s="52"/>
      <c r="DB564" s="52"/>
    </row>
    <row r="565" spans="1:106" ht="12.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211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2"/>
      <c r="CQ565" s="52"/>
      <c r="CR565" s="52"/>
      <c r="CS565" s="52"/>
      <c r="CT565" s="52"/>
      <c r="CU565" s="58"/>
      <c r="CV565" s="52"/>
      <c r="CW565" s="52"/>
      <c r="CX565" s="52"/>
      <c r="CY565" s="52"/>
      <c r="CZ565" s="52"/>
      <c r="DA565" s="52"/>
      <c r="DB565" s="52"/>
    </row>
    <row r="566" spans="1:106" ht="12.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211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  <c r="CS566" s="52"/>
      <c r="CT566" s="52"/>
      <c r="CU566" s="58"/>
      <c r="CV566" s="52"/>
      <c r="CW566" s="52"/>
      <c r="CX566" s="52"/>
      <c r="CY566" s="52"/>
      <c r="CZ566" s="52"/>
      <c r="DA566" s="52"/>
      <c r="DB566" s="52"/>
    </row>
    <row r="567" spans="1:106" ht="12.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211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52"/>
      <c r="CU567" s="58"/>
      <c r="CV567" s="52"/>
      <c r="CW567" s="52"/>
      <c r="CX567" s="52"/>
      <c r="CY567" s="52"/>
      <c r="CZ567" s="52"/>
      <c r="DA567" s="52"/>
      <c r="DB567" s="52"/>
    </row>
    <row r="568" spans="1:106" ht="12.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211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2"/>
      <c r="CQ568" s="52"/>
      <c r="CR568" s="52"/>
      <c r="CS568" s="52"/>
      <c r="CT568" s="52"/>
      <c r="CU568" s="58"/>
      <c r="CV568" s="52"/>
      <c r="CW568" s="52"/>
      <c r="CX568" s="52"/>
      <c r="CY568" s="52"/>
      <c r="CZ568" s="52"/>
      <c r="DA568" s="52"/>
      <c r="DB568" s="52"/>
    </row>
    <row r="569" spans="1:106" ht="12.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211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52"/>
      <c r="CU569" s="58"/>
      <c r="CV569" s="52"/>
      <c r="CW569" s="52"/>
      <c r="CX569" s="52"/>
      <c r="CY569" s="52"/>
      <c r="CZ569" s="52"/>
      <c r="DA569" s="52"/>
      <c r="DB569" s="52"/>
    </row>
    <row r="570" spans="1:106" ht="12.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211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52"/>
      <c r="CU570" s="58"/>
      <c r="CV570" s="52"/>
      <c r="CW570" s="52"/>
      <c r="CX570" s="52"/>
      <c r="CY570" s="52"/>
      <c r="CZ570" s="52"/>
      <c r="DA570" s="52"/>
      <c r="DB570" s="52"/>
    </row>
    <row r="571" spans="1:106" ht="12.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211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52"/>
      <c r="CU571" s="58"/>
      <c r="CV571" s="52"/>
      <c r="CW571" s="52"/>
      <c r="CX571" s="52"/>
      <c r="CY571" s="52"/>
      <c r="CZ571" s="52"/>
      <c r="DA571" s="52"/>
      <c r="DB571" s="52"/>
    </row>
    <row r="572" spans="1:106" ht="12.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211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52"/>
      <c r="CU572" s="58"/>
      <c r="CV572" s="52"/>
      <c r="CW572" s="52"/>
      <c r="CX572" s="52"/>
      <c r="CY572" s="52"/>
      <c r="CZ572" s="52"/>
      <c r="DA572" s="52"/>
      <c r="DB572" s="52"/>
    </row>
    <row r="573" spans="1:106" ht="12.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211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52"/>
      <c r="CU573" s="58"/>
      <c r="CV573" s="52"/>
      <c r="CW573" s="52"/>
      <c r="CX573" s="52"/>
      <c r="CY573" s="52"/>
      <c r="CZ573" s="52"/>
      <c r="DA573" s="52"/>
      <c r="DB573" s="52"/>
    </row>
    <row r="574" spans="1:106" ht="12.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211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52"/>
      <c r="CU574" s="58"/>
      <c r="CV574" s="52"/>
      <c r="CW574" s="52"/>
      <c r="CX574" s="52"/>
      <c r="CY574" s="52"/>
      <c r="CZ574" s="52"/>
      <c r="DA574" s="52"/>
      <c r="DB574" s="52"/>
    </row>
    <row r="575" spans="1:106" ht="12.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211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52"/>
      <c r="CU575" s="58"/>
      <c r="CV575" s="52"/>
      <c r="CW575" s="52"/>
      <c r="CX575" s="52"/>
      <c r="CY575" s="52"/>
      <c r="CZ575" s="52"/>
      <c r="DA575" s="52"/>
      <c r="DB575" s="52"/>
    </row>
    <row r="576" spans="1:106" ht="12.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211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52"/>
      <c r="CU576" s="58"/>
      <c r="CV576" s="52"/>
      <c r="CW576" s="52"/>
      <c r="CX576" s="52"/>
      <c r="CY576" s="52"/>
      <c r="CZ576" s="52"/>
      <c r="DA576" s="52"/>
      <c r="DB576" s="52"/>
    </row>
    <row r="577" spans="1:106" ht="12.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211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52"/>
      <c r="CU577" s="58"/>
      <c r="CV577" s="52"/>
      <c r="CW577" s="52"/>
      <c r="CX577" s="52"/>
      <c r="CY577" s="52"/>
      <c r="CZ577" s="52"/>
      <c r="DA577" s="52"/>
      <c r="DB577" s="52"/>
    </row>
    <row r="578" spans="1:106" ht="12.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211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52"/>
      <c r="CU578" s="58"/>
      <c r="CV578" s="52"/>
      <c r="CW578" s="52"/>
      <c r="CX578" s="52"/>
      <c r="CY578" s="52"/>
      <c r="CZ578" s="52"/>
      <c r="DA578" s="52"/>
      <c r="DB578" s="52"/>
    </row>
    <row r="579" spans="1:106" ht="12.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211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52"/>
      <c r="CU579" s="58"/>
      <c r="CV579" s="52"/>
      <c r="CW579" s="52"/>
      <c r="CX579" s="52"/>
      <c r="CY579" s="52"/>
      <c r="CZ579" s="52"/>
      <c r="DA579" s="52"/>
      <c r="DB579" s="52"/>
    </row>
    <row r="580" spans="1:106" ht="12.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211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2"/>
      <c r="CQ580" s="52"/>
      <c r="CR580" s="52"/>
      <c r="CS580" s="52"/>
      <c r="CT580" s="52"/>
      <c r="CU580" s="58"/>
      <c r="CV580" s="52"/>
      <c r="CW580" s="52"/>
      <c r="CX580" s="52"/>
      <c r="CY580" s="52"/>
      <c r="CZ580" s="52"/>
      <c r="DA580" s="52"/>
      <c r="DB580" s="52"/>
    </row>
    <row r="581" spans="1:106" ht="12.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211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  <c r="CS581" s="52"/>
      <c r="CT581" s="52"/>
      <c r="CU581" s="58"/>
      <c r="CV581" s="52"/>
      <c r="CW581" s="52"/>
      <c r="CX581" s="52"/>
      <c r="CY581" s="52"/>
      <c r="CZ581" s="52"/>
      <c r="DA581" s="52"/>
      <c r="DB581" s="52"/>
    </row>
    <row r="582" spans="1:106" ht="12.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211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2"/>
      <c r="CQ582" s="52"/>
      <c r="CR582" s="52"/>
      <c r="CS582" s="52"/>
      <c r="CT582" s="52"/>
      <c r="CU582" s="58"/>
      <c r="CV582" s="52"/>
      <c r="CW582" s="52"/>
      <c r="CX582" s="52"/>
      <c r="CY582" s="52"/>
      <c r="CZ582" s="52"/>
      <c r="DA582" s="52"/>
      <c r="DB582" s="52"/>
    </row>
    <row r="583" spans="1:106" ht="12.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211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2"/>
      <c r="CQ583" s="52"/>
      <c r="CR583" s="52"/>
      <c r="CS583" s="52"/>
      <c r="CT583" s="52"/>
      <c r="CU583" s="58"/>
      <c r="CV583" s="52"/>
      <c r="CW583" s="52"/>
      <c r="CX583" s="52"/>
      <c r="CY583" s="52"/>
      <c r="CZ583" s="52"/>
      <c r="DA583" s="52"/>
      <c r="DB583" s="52"/>
    </row>
    <row r="584" spans="1:106" ht="12.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211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8"/>
      <c r="CV584" s="52"/>
      <c r="CW584" s="52"/>
      <c r="CX584" s="52"/>
      <c r="CY584" s="52"/>
      <c r="CZ584" s="52"/>
      <c r="DA584" s="52"/>
      <c r="DB584" s="52"/>
    </row>
    <row r="585" spans="1:106" ht="12.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211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2"/>
      <c r="CQ585" s="52"/>
      <c r="CR585" s="52"/>
      <c r="CS585" s="52"/>
      <c r="CT585" s="52"/>
      <c r="CU585" s="58"/>
      <c r="CV585" s="52"/>
      <c r="CW585" s="52"/>
      <c r="CX585" s="52"/>
      <c r="CY585" s="52"/>
      <c r="CZ585" s="52"/>
      <c r="DA585" s="52"/>
      <c r="DB585" s="52"/>
    </row>
    <row r="586" spans="1:106" ht="12.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211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2"/>
      <c r="CQ586" s="52"/>
      <c r="CR586" s="52"/>
      <c r="CS586" s="52"/>
      <c r="CT586" s="52"/>
      <c r="CU586" s="58"/>
      <c r="CV586" s="52"/>
      <c r="CW586" s="52"/>
      <c r="CX586" s="52"/>
      <c r="CY586" s="52"/>
      <c r="CZ586" s="52"/>
      <c r="DA586" s="52"/>
      <c r="DB586" s="52"/>
    </row>
    <row r="587" spans="1:106" ht="12.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211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  <c r="CS587" s="52"/>
      <c r="CT587" s="52"/>
      <c r="CU587" s="58"/>
      <c r="CV587" s="52"/>
      <c r="CW587" s="52"/>
      <c r="CX587" s="52"/>
      <c r="CY587" s="52"/>
      <c r="CZ587" s="52"/>
      <c r="DA587" s="52"/>
      <c r="DB587" s="52"/>
    </row>
    <row r="588" spans="1:106" ht="12.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211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2"/>
      <c r="CQ588" s="52"/>
      <c r="CR588" s="52"/>
      <c r="CS588" s="52"/>
      <c r="CT588" s="52"/>
      <c r="CU588" s="58"/>
      <c r="CV588" s="52"/>
      <c r="CW588" s="52"/>
      <c r="CX588" s="52"/>
      <c r="CY588" s="52"/>
      <c r="CZ588" s="52"/>
      <c r="DA588" s="52"/>
      <c r="DB588" s="52"/>
    </row>
    <row r="589" spans="1:106" ht="12.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211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2"/>
      <c r="CQ589" s="52"/>
      <c r="CR589" s="52"/>
      <c r="CS589" s="52"/>
      <c r="CT589" s="52"/>
      <c r="CU589" s="58"/>
      <c r="CV589" s="52"/>
      <c r="CW589" s="52"/>
      <c r="CX589" s="52"/>
      <c r="CY589" s="52"/>
      <c r="CZ589" s="52"/>
      <c r="DA589" s="52"/>
      <c r="DB589" s="52"/>
    </row>
    <row r="590" spans="1:106" ht="12.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211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  <c r="CS590" s="52"/>
      <c r="CT590" s="52"/>
      <c r="CU590" s="58"/>
      <c r="CV590" s="52"/>
      <c r="CW590" s="52"/>
      <c r="CX590" s="52"/>
      <c r="CY590" s="52"/>
      <c r="CZ590" s="52"/>
      <c r="DA590" s="52"/>
      <c r="DB590" s="52"/>
    </row>
    <row r="591" spans="1:106" ht="12.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211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2"/>
      <c r="CQ591" s="52"/>
      <c r="CR591" s="52"/>
      <c r="CS591" s="52"/>
      <c r="CT591" s="52"/>
      <c r="CU591" s="58"/>
      <c r="CV591" s="52"/>
      <c r="CW591" s="52"/>
      <c r="CX591" s="52"/>
      <c r="CY591" s="52"/>
      <c r="CZ591" s="52"/>
      <c r="DA591" s="52"/>
      <c r="DB591" s="52"/>
    </row>
    <row r="592" spans="1:106" ht="12.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211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2"/>
      <c r="CQ592" s="52"/>
      <c r="CR592" s="52"/>
      <c r="CS592" s="52"/>
      <c r="CT592" s="52"/>
      <c r="CU592" s="58"/>
      <c r="CV592" s="52"/>
      <c r="CW592" s="52"/>
      <c r="CX592" s="52"/>
      <c r="CY592" s="52"/>
      <c r="CZ592" s="52"/>
      <c r="DA592" s="52"/>
      <c r="DB592" s="52"/>
    </row>
    <row r="593" spans="1:106" ht="12.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211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  <c r="CS593" s="52"/>
      <c r="CT593" s="52"/>
      <c r="CU593" s="58"/>
      <c r="CV593" s="52"/>
      <c r="CW593" s="52"/>
      <c r="CX593" s="52"/>
      <c r="CY593" s="52"/>
      <c r="CZ593" s="52"/>
      <c r="DA593" s="52"/>
      <c r="DB593" s="52"/>
    </row>
    <row r="594" spans="1:106" ht="12.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211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2"/>
      <c r="CQ594" s="52"/>
      <c r="CR594" s="52"/>
      <c r="CS594" s="52"/>
      <c r="CT594" s="52"/>
      <c r="CU594" s="58"/>
      <c r="CV594" s="52"/>
      <c r="CW594" s="52"/>
      <c r="CX594" s="52"/>
      <c r="CY594" s="52"/>
      <c r="CZ594" s="52"/>
      <c r="DA594" s="52"/>
      <c r="DB594" s="52"/>
    </row>
    <row r="595" spans="1:106" ht="12.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211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2"/>
      <c r="CQ595" s="52"/>
      <c r="CR595" s="52"/>
      <c r="CS595" s="52"/>
      <c r="CT595" s="52"/>
      <c r="CU595" s="58"/>
      <c r="CV595" s="52"/>
      <c r="CW595" s="52"/>
      <c r="CX595" s="52"/>
      <c r="CY595" s="52"/>
      <c r="CZ595" s="52"/>
      <c r="DA595" s="52"/>
      <c r="DB595" s="52"/>
    </row>
    <row r="596" spans="1:106" ht="12.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211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  <c r="CS596" s="52"/>
      <c r="CT596" s="52"/>
      <c r="CU596" s="58"/>
      <c r="CV596" s="52"/>
      <c r="CW596" s="52"/>
      <c r="CX596" s="52"/>
      <c r="CY596" s="52"/>
      <c r="CZ596" s="52"/>
      <c r="DA596" s="52"/>
      <c r="DB596" s="52"/>
    </row>
    <row r="597" spans="1:106" ht="12.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211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2"/>
      <c r="CQ597" s="52"/>
      <c r="CR597" s="52"/>
      <c r="CS597" s="52"/>
      <c r="CT597" s="52"/>
      <c r="CU597" s="58"/>
      <c r="CV597" s="52"/>
      <c r="CW597" s="52"/>
      <c r="CX597" s="52"/>
      <c r="CY597" s="52"/>
      <c r="CZ597" s="52"/>
      <c r="DA597" s="52"/>
      <c r="DB597" s="52"/>
    </row>
    <row r="598" spans="1:106" ht="12.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211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2"/>
      <c r="CQ598" s="52"/>
      <c r="CR598" s="52"/>
      <c r="CS598" s="52"/>
      <c r="CT598" s="52"/>
      <c r="CU598" s="58"/>
      <c r="CV598" s="52"/>
      <c r="CW598" s="52"/>
      <c r="CX598" s="52"/>
      <c r="CY598" s="52"/>
      <c r="CZ598" s="52"/>
      <c r="DA598" s="52"/>
      <c r="DB598" s="52"/>
    </row>
    <row r="599" spans="1:106" ht="12.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211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  <c r="CS599" s="52"/>
      <c r="CT599" s="52"/>
      <c r="CU599" s="58"/>
      <c r="CV599" s="52"/>
      <c r="CW599" s="52"/>
      <c r="CX599" s="52"/>
      <c r="CY599" s="52"/>
      <c r="CZ599" s="52"/>
      <c r="DA599" s="52"/>
      <c r="DB599" s="52"/>
    </row>
    <row r="600" spans="1:106" ht="12.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211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2"/>
      <c r="CQ600" s="52"/>
      <c r="CR600" s="52"/>
      <c r="CS600" s="52"/>
      <c r="CT600" s="52"/>
      <c r="CU600" s="58"/>
      <c r="CV600" s="52"/>
      <c r="CW600" s="52"/>
      <c r="CX600" s="52"/>
      <c r="CY600" s="52"/>
      <c r="CZ600" s="52"/>
      <c r="DA600" s="52"/>
      <c r="DB600" s="52"/>
    </row>
    <row r="601" spans="1:106" ht="12.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211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2"/>
      <c r="CQ601" s="52"/>
      <c r="CR601" s="52"/>
      <c r="CS601" s="52"/>
      <c r="CT601" s="52"/>
      <c r="CU601" s="58"/>
      <c r="CV601" s="52"/>
      <c r="CW601" s="52"/>
      <c r="CX601" s="52"/>
      <c r="CY601" s="52"/>
      <c r="CZ601" s="52"/>
      <c r="DA601" s="52"/>
      <c r="DB601" s="52"/>
    </row>
    <row r="602" spans="1:106" ht="12.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211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8"/>
      <c r="CV602" s="52"/>
      <c r="CW602" s="52"/>
      <c r="CX602" s="52"/>
      <c r="CY602" s="52"/>
      <c r="CZ602" s="52"/>
      <c r="DA602" s="52"/>
      <c r="DB602" s="52"/>
    </row>
    <row r="603" spans="1:106" ht="12.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211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2"/>
      <c r="CQ603" s="52"/>
      <c r="CR603" s="52"/>
      <c r="CS603" s="52"/>
      <c r="CT603" s="52"/>
      <c r="CU603" s="58"/>
      <c r="CV603" s="52"/>
      <c r="CW603" s="52"/>
      <c r="CX603" s="52"/>
      <c r="CY603" s="52"/>
      <c r="CZ603" s="52"/>
      <c r="DA603" s="52"/>
      <c r="DB603" s="52"/>
    </row>
    <row r="604" spans="1:106" ht="12.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211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2"/>
      <c r="CQ604" s="52"/>
      <c r="CR604" s="52"/>
      <c r="CS604" s="52"/>
      <c r="CT604" s="52"/>
      <c r="CU604" s="58"/>
      <c r="CV604" s="52"/>
      <c r="CW604" s="52"/>
      <c r="CX604" s="52"/>
      <c r="CY604" s="52"/>
      <c r="CZ604" s="52"/>
      <c r="DA604" s="52"/>
      <c r="DB604" s="52"/>
    </row>
    <row r="605" spans="1:106" ht="12.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211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  <c r="CS605" s="52"/>
      <c r="CT605" s="52"/>
      <c r="CU605" s="58"/>
      <c r="CV605" s="52"/>
      <c r="CW605" s="52"/>
      <c r="CX605" s="52"/>
      <c r="CY605" s="52"/>
      <c r="CZ605" s="52"/>
      <c r="DA605" s="52"/>
      <c r="DB605" s="52"/>
    </row>
    <row r="606" spans="1:106" ht="12.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211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2"/>
      <c r="CQ606" s="52"/>
      <c r="CR606" s="52"/>
      <c r="CS606" s="52"/>
      <c r="CT606" s="52"/>
      <c r="CU606" s="58"/>
      <c r="CV606" s="52"/>
      <c r="CW606" s="52"/>
      <c r="CX606" s="52"/>
      <c r="CY606" s="52"/>
      <c r="CZ606" s="52"/>
      <c r="DA606" s="52"/>
      <c r="DB606" s="52"/>
    </row>
    <row r="607" spans="1:106" ht="12.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211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52"/>
      <c r="CU607" s="58"/>
      <c r="CV607" s="52"/>
      <c r="CW607" s="52"/>
      <c r="CX607" s="52"/>
      <c r="CY607" s="52"/>
      <c r="CZ607" s="52"/>
      <c r="DA607" s="52"/>
      <c r="DB607" s="52"/>
    </row>
    <row r="608" spans="1:106" ht="12.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211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8"/>
      <c r="CV608" s="52"/>
      <c r="CW608" s="52"/>
      <c r="CX608" s="52"/>
      <c r="CY608" s="52"/>
      <c r="CZ608" s="52"/>
      <c r="DA608" s="52"/>
      <c r="DB608" s="52"/>
    </row>
    <row r="609" spans="1:106" ht="12.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211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52"/>
      <c r="CU609" s="58"/>
      <c r="CV609" s="52"/>
      <c r="CW609" s="52"/>
      <c r="CX609" s="52"/>
      <c r="CY609" s="52"/>
      <c r="CZ609" s="52"/>
      <c r="DA609" s="52"/>
      <c r="DB609" s="52"/>
    </row>
    <row r="610" spans="1:106" ht="12.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211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52"/>
      <c r="CU610" s="58"/>
      <c r="CV610" s="52"/>
      <c r="CW610" s="52"/>
      <c r="CX610" s="52"/>
      <c r="CY610" s="52"/>
      <c r="CZ610" s="52"/>
      <c r="DA610" s="52"/>
      <c r="DB610" s="52"/>
    </row>
    <row r="611" spans="1:106" ht="12.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211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52"/>
      <c r="CU611" s="58"/>
      <c r="CV611" s="52"/>
      <c r="CW611" s="52"/>
      <c r="CX611" s="52"/>
      <c r="CY611" s="52"/>
      <c r="CZ611" s="52"/>
      <c r="DA611" s="52"/>
      <c r="DB611" s="52"/>
    </row>
    <row r="612" spans="1:106" ht="12.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211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52"/>
      <c r="CU612" s="58"/>
      <c r="CV612" s="52"/>
      <c r="CW612" s="52"/>
      <c r="CX612" s="52"/>
      <c r="CY612" s="52"/>
      <c r="CZ612" s="52"/>
      <c r="DA612" s="52"/>
      <c r="DB612" s="52"/>
    </row>
    <row r="613" spans="1:106" ht="12.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211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52"/>
      <c r="CU613" s="58"/>
      <c r="CV613" s="52"/>
      <c r="CW613" s="52"/>
      <c r="CX613" s="52"/>
      <c r="CY613" s="52"/>
      <c r="CZ613" s="52"/>
      <c r="DA613" s="52"/>
      <c r="DB613" s="52"/>
    </row>
    <row r="614" spans="1:106" ht="12.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211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8"/>
      <c r="CV614" s="52"/>
      <c r="CW614" s="52"/>
      <c r="CX614" s="52"/>
      <c r="CY614" s="52"/>
      <c r="CZ614" s="52"/>
      <c r="DA614" s="52"/>
      <c r="DB614" s="52"/>
    </row>
    <row r="615" spans="1:106" ht="12.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211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52"/>
      <c r="CU615" s="58"/>
      <c r="CV615" s="52"/>
      <c r="CW615" s="52"/>
      <c r="CX615" s="52"/>
      <c r="CY615" s="52"/>
      <c r="CZ615" s="52"/>
      <c r="DA615" s="52"/>
      <c r="DB615" s="52"/>
    </row>
    <row r="616" spans="1:106" ht="12.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211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52"/>
      <c r="CU616" s="58"/>
      <c r="CV616" s="52"/>
      <c r="CW616" s="52"/>
      <c r="CX616" s="52"/>
      <c r="CY616" s="52"/>
      <c r="CZ616" s="52"/>
      <c r="DA616" s="52"/>
      <c r="DB616" s="52"/>
    </row>
    <row r="617" spans="1:106" ht="12.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211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52"/>
      <c r="CU617" s="58"/>
      <c r="CV617" s="52"/>
      <c r="CW617" s="52"/>
      <c r="CX617" s="52"/>
      <c r="CY617" s="52"/>
      <c r="CZ617" s="52"/>
      <c r="DA617" s="52"/>
      <c r="DB617" s="52"/>
    </row>
    <row r="618" spans="1:106" ht="12.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211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52"/>
      <c r="CU618" s="58"/>
      <c r="CV618" s="52"/>
      <c r="CW618" s="52"/>
      <c r="CX618" s="52"/>
      <c r="CY618" s="52"/>
      <c r="CZ618" s="52"/>
      <c r="DA618" s="52"/>
      <c r="DB618" s="52"/>
    </row>
    <row r="619" spans="1:106" ht="12.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211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52"/>
      <c r="CU619" s="58"/>
      <c r="CV619" s="52"/>
      <c r="CW619" s="52"/>
      <c r="CX619" s="52"/>
      <c r="CY619" s="52"/>
      <c r="CZ619" s="52"/>
      <c r="DA619" s="52"/>
      <c r="DB619" s="52"/>
    </row>
    <row r="620" spans="1:106" ht="12.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211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  <c r="CS620" s="52"/>
      <c r="CT620" s="52"/>
      <c r="CU620" s="58"/>
      <c r="CV620" s="52"/>
      <c r="CW620" s="52"/>
      <c r="CX620" s="52"/>
      <c r="CY620" s="52"/>
      <c r="CZ620" s="52"/>
      <c r="DA620" s="52"/>
      <c r="DB620" s="52"/>
    </row>
    <row r="621" spans="1:106" ht="12.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211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  <c r="CS621" s="52"/>
      <c r="CT621" s="52"/>
      <c r="CU621" s="58"/>
      <c r="CV621" s="52"/>
      <c r="CW621" s="52"/>
      <c r="CX621" s="52"/>
      <c r="CY621" s="52"/>
      <c r="CZ621" s="52"/>
      <c r="DA621" s="52"/>
      <c r="DB621" s="52"/>
    </row>
    <row r="622" spans="1:106" ht="12.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211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2"/>
      <c r="CQ622" s="52"/>
      <c r="CR622" s="52"/>
      <c r="CS622" s="52"/>
      <c r="CT622" s="52"/>
      <c r="CU622" s="58"/>
      <c r="CV622" s="52"/>
      <c r="CW622" s="52"/>
      <c r="CX622" s="52"/>
      <c r="CY622" s="52"/>
      <c r="CZ622" s="52"/>
      <c r="DA622" s="52"/>
      <c r="DB622" s="52"/>
    </row>
    <row r="623" spans="1:106" ht="12.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211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  <c r="CS623" s="52"/>
      <c r="CT623" s="52"/>
      <c r="CU623" s="58"/>
      <c r="CV623" s="52"/>
      <c r="CW623" s="52"/>
      <c r="CX623" s="52"/>
      <c r="CY623" s="52"/>
      <c r="CZ623" s="52"/>
      <c r="DA623" s="52"/>
      <c r="DB623" s="52"/>
    </row>
    <row r="624" spans="1:106" ht="12.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211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2"/>
      <c r="CQ624" s="52"/>
      <c r="CR624" s="52"/>
      <c r="CS624" s="52"/>
      <c r="CT624" s="52"/>
      <c r="CU624" s="58"/>
      <c r="CV624" s="52"/>
      <c r="CW624" s="52"/>
      <c r="CX624" s="52"/>
      <c r="CY624" s="52"/>
      <c r="CZ624" s="52"/>
      <c r="DA624" s="52"/>
      <c r="DB624" s="52"/>
    </row>
    <row r="625" spans="1:106" ht="12.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211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2"/>
      <c r="CQ625" s="52"/>
      <c r="CR625" s="52"/>
      <c r="CS625" s="52"/>
      <c r="CT625" s="52"/>
      <c r="CU625" s="58"/>
      <c r="CV625" s="52"/>
      <c r="CW625" s="52"/>
      <c r="CX625" s="52"/>
      <c r="CY625" s="52"/>
      <c r="CZ625" s="52"/>
      <c r="DA625" s="52"/>
      <c r="DB625" s="52"/>
    </row>
    <row r="626" spans="1:106" ht="12.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211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  <c r="CS626" s="52"/>
      <c r="CT626" s="52"/>
      <c r="CU626" s="58"/>
      <c r="CV626" s="52"/>
      <c r="CW626" s="52"/>
      <c r="CX626" s="52"/>
      <c r="CY626" s="52"/>
      <c r="CZ626" s="52"/>
      <c r="DA626" s="52"/>
      <c r="DB626" s="52"/>
    </row>
    <row r="627" spans="1:106" ht="12.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211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2"/>
      <c r="CQ627" s="52"/>
      <c r="CR627" s="52"/>
      <c r="CS627" s="52"/>
      <c r="CT627" s="52"/>
      <c r="CU627" s="58"/>
      <c r="CV627" s="52"/>
      <c r="CW627" s="52"/>
      <c r="CX627" s="52"/>
      <c r="CY627" s="52"/>
      <c r="CZ627" s="52"/>
      <c r="DA627" s="52"/>
      <c r="DB627" s="52"/>
    </row>
    <row r="628" spans="1:106" ht="12.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211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2"/>
      <c r="CQ628" s="52"/>
      <c r="CR628" s="52"/>
      <c r="CS628" s="52"/>
      <c r="CT628" s="52"/>
      <c r="CU628" s="58"/>
      <c r="CV628" s="52"/>
      <c r="CW628" s="52"/>
      <c r="CX628" s="52"/>
      <c r="CY628" s="52"/>
      <c r="CZ628" s="52"/>
      <c r="DA628" s="52"/>
      <c r="DB628" s="52"/>
    </row>
    <row r="629" spans="1:106" ht="12.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211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  <c r="CS629" s="52"/>
      <c r="CT629" s="52"/>
      <c r="CU629" s="58"/>
      <c r="CV629" s="52"/>
      <c r="CW629" s="52"/>
      <c r="CX629" s="52"/>
      <c r="CY629" s="52"/>
      <c r="CZ629" s="52"/>
      <c r="DA629" s="52"/>
      <c r="DB629" s="52"/>
    </row>
    <row r="630" spans="1:106" ht="12.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211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2"/>
      <c r="CQ630" s="52"/>
      <c r="CR630" s="52"/>
      <c r="CS630" s="52"/>
      <c r="CT630" s="52"/>
      <c r="CU630" s="58"/>
      <c r="CV630" s="52"/>
      <c r="CW630" s="52"/>
      <c r="CX630" s="52"/>
      <c r="CY630" s="52"/>
      <c r="CZ630" s="52"/>
      <c r="DA630" s="52"/>
      <c r="DB630" s="52"/>
    </row>
    <row r="631" spans="1:106" ht="12.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211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2"/>
      <c r="CQ631" s="52"/>
      <c r="CR631" s="52"/>
      <c r="CS631" s="52"/>
      <c r="CT631" s="52"/>
      <c r="CU631" s="58"/>
      <c r="CV631" s="52"/>
      <c r="CW631" s="52"/>
      <c r="CX631" s="52"/>
      <c r="CY631" s="52"/>
      <c r="CZ631" s="52"/>
      <c r="DA631" s="52"/>
      <c r="DB631" s="52"/>
    </row>
    <row r="632" spans="1:106" ht="12.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211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  <c r="CS632" s="52"/>
      <c r="CT632" s="52"/>
      <c r="CU632" s="58"/>
      <c r="CV632" s="52"/>
      <c r="CW632" s="52"/>
      <c r="CX632" s="52"/>
      <c r="CY632" s="52"/>
      <c r="CZ632" s="52"/>
      <c r="DA632" s="52"/>
      <c r="DB632" s="52"/>
    </row>
    <row r="633" spans="1:106" ht="12.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211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2"/>
      <c r="CQ633" s="52"/>
      <c r="CR633" s="52"/>
      <c r="CS633" s="52"/>
      <c r="CT633" s="52"/>
      <c r="CU633" s="58"/>
      <c r="CV633" s="52"/>
      <c r="CW633" s="52"/>
      <c r="CX633" s="52"/>
      <c r="CY633" s="52"/>
      <c r="CZ633" s="52"/>
      <c r="DA633" s="52"/>
      <c r="DB633" s="52"/>
    </row>
    <row r="634" spans="1:106" ht="12.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211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2"/>
      <c r="CQ634" s="52"/>
      <c r="CR634" s="52"/>
      <c r="CS634" s="52"/>
      <c r="CT634" s="52"/>
      <c r="CU634" s="58"/>
      <c r="CV634" s="52"/>
      <c r="CW634" s="52"/>
      <c r="CX634" s="52"/>
      <c r="CY634" s="52"/>
      <c r="CZ634" s="52"/>
      <c r="DA634" s="52"/>
      <c r="DB634" s="52"/>
    </row>
    <row r="635" spans="1:106" ht="12.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211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  <c r="CS635" s="52"/>
      <c r="CT635" s="52"/>
      <c r="CU635" s="58"/>
      <c r="CV635" s="52"/>
      <c r="CW635" s="52"/>
      <c r="CX635" s="52"/>
      <c r="CY635" s="52"/>
      <c r="CZ635" s="52"/>
      <c r="DA635" s="52"/>
      <c r="DB635" s="52"/>
    </row>
    <row r="636" spans="1:106" ht="12.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211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2"/>
      <c r="CQ636" s="52"/>
      <c r="CR636" s="52"/>
      <c r="CS636" s="52"/>
      <c r="CT636" s="52"/>
      <c r="CU636" s="58"/>
      <c r="CV636" s="52"/>
      <c r="CW636" s="52"/>
      <c r="CX636" s="52"/>
      <c r="CY636" s="52"/>
      <c r="CZ636" s="52"/>
      <c r="DA636" s="52"/>
      <c r="DB636" s="52"/>
    </row>
    <row r="637" spans="1:106" ht="12.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211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2"/>
      <c r="CQ637" s="52"/>
      <c r="CR637" s="52"/>
      <c r="CS637" s="52"/>
      <c r="CT637" s="52"/>
      <c r="CU637" s="58"/>
      <c r="CV637" s="52"/>
      <c r="CW637" s="52"/>
      <c r="CX637" s="52"/>
      <c r="CY637" s="52"/>
      <c r="CZ637" s="52"/>
      <c r="DA637" s="52"/>
      <c r="DB637" s="52"/>
    </row>
    <row r="638" spans="1:106" ht="12.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211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  <c r="CS638" s="52"/>
      <c r="CT638" s="52"/>
      <c r="CU638" s="58"/>
      <c r="CV638" s="52"/>
      <c r="CW638" s="52"/>
      <c r="CX638" s="52"/>
      <c r="CY638" s="52"/>
      <c r="CZ638" s="52"/>
      <c r="DA638" s="52"/>
      <c r="DB638" s="52"/>
    </row>
    <row r="639" spans="1:106" ht="12.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211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2"/>
      <c r="CQ639" s="52"/>
      <c r="CR639" s="52"/>
      <c r="CS639" s="52"/>
      <c r="CT639" s="52"/>
      <c r="CU639" s="58"/>
      <c r="CV639" s="52"/>
      <c r="CW639" s="52"/>
      <c r="CX639" s="52"/>
      <c r="CY639" s="52"/>
      <c r="CZ639" s="52"/>
      <c r="DA639" s="52"/>
      <c r="DB639" s="52"/>
    </row>
    <row r="640" spans="1:106" ht="12.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211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2"/>
      <c r="CQ640" s="52"/>
      <c r="CR640" s="52"/>
      <c r="CS640" s="52"/>
      <c r="CT640" s="52"/>
      <c r="CU640" s="58"/>
      <c r="CV640" s="52"/>
      <c r="CW640" s="52"/>
      <c r="CX640" s="52"/>
      <c r="CY640" s="52"/>
      <c r="CZ640" s="52"/>
      <c r="DA640" s="52"/>
      <c r="DB640" s="52"/>
    </row>
    <row r="641" spans="1:106" ht="12.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211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  <c r="CS641" s="52"/>
      <c r="CT641" s="52"/>
      <c r="CU641" s="58"/>
      <c r="CV641" s="52"/>
      <c r="CW641" s="52"/>
      <c r="CX641" s="52"/>
      <c r="CY641" s="52"/>
      <c r="CZ641" s="52"/>
      <c r="DA641" s="52"/>
      <c r="DB641" s="52"/>
    </row>
    <row r="642" spans="1:106" ht="12.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211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2"/>
      <c r="CQ642" s="52"/>
      <c r="CR642" s="52"/>
      <c r="CS642" s="52"/>
      <c r="CT642" s="52"/>
      <c r="CU642" s="58"/>
      <c r="CV642" s="52"/>
      <c r="CW642" s="52"/>
      <c r="CX642" s="52"/>
      <c r="CY642" s="52"/>
      <c r="CZ642" s="52"/>
      <c r="DA642" s="52"/>
      <c r="DB642" s="52"/>
    </row>
    <row r="643" spans="1:106" ht="12.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211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2"/>
      <c r="CQ643" s="52"/>
      <c r="CR643" s="52"/>
      <c r="CS643" s="52"/>
      <c r="CT643" s="52"/>
      <c r="CU643" s="58"/>
      <c r="CV643" s="52"/>
      <c r="CW643" s="52"/>
      <c r="CX643" s="52"/>
      <c r="CY643" s="52"/>
      <c r="CZ643" s="52"/>
      <c r="DA643" s="52"/>
      <c r="DB643" s="52"/>
    </row>
    <row r="644" spans="1:106" ht="12.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211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  <c r="CS644" s="52"/>
      <c r="CT644" s="52"/>
      <c r="CU644" s="58"/>
      <c r="CV644" s="52"/>
      <c r="CW644" s="52"/>
      <c r="CX644" s="52"/>
      <c r="CY644" s="52"/>
      <c r="CZ644" s="52"/>
      <c r="DA644" s="52"/>
      <c r="DB644" s="52"/>
    </row>
    <row r="645" spans="1:106" ht="12.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211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2"/>
      <c r="CQ645" s="52"/>
      <c r="CR645" s="52"/>
      <c r="CS645" s="52"/>
      <c r="CT645" s="52"/>
      <c r="CU645" s="58"/>
      <c r="CV645" s="52"/>
      <c r="CW645" s="52"/>
      <c r="CX645" s="52"/>
      <c r="CY645" s="52"/>
      <c r="CZ645" s="52"/>
      <c r="DA645" s="52"/>
      <c r="DB645" s="52"/>
    </row>
    <row r="646" spans="1:106" ht="12.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211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2"/>
      <c r="CQ646" s="52"/>
      <c r="CR646" s="52"/>
      <c r="CS646" s="52"/>
      <c r="CT646" s="52"/>
      <c r="CU646" s="58"/>
      <c r="CV646" s="52"/>
      <c r="CW646" s="52"/>
      <c r="CX646" s="52"/>
      <c r="CY646" s="52"/>
      <c r="CZ646" s="52"/>
      <c r="DA646" s="52"/>
      <c r="DB646" s="52"/>
    </row>
    <row r="647" spans="1:106" ht="12.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211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8"/>
      <c r="CV647" s="52"/>
      <c r="CW647" s="52"/>
      <c r="CX647" s="52"/>
      <c r="CY647" s="52"/>
      <c r="CZ647" s="52"/>
      <c r="DA647" s="52"/>
      <c r="DB647" s="52"/>
    </row>
    <row r="648" spans="1:106" ht="12.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211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2"/>
      <c r="CQ648" s="52"/>
      <c r="CR648" s="52"/>
      <c r="CS648" s="52"/>
      <c r="CT648" s="52"/>
      <c r="CU648" s="58"/>
      <c r="CV648" s="52"/>
      <c r="CW648" s="52"/>
      <c r="CX648" s="52"/>
      <c r="CY648" s="52"/>
      <c r="CZ648" s="52"/>
      <c r="DA648" s="52"/>
      <c r="DB648" s="52"/>
    </row>
    <row r="649" spans="1:106" ht="12.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211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52"/>
      <c r="CU649" s="58"/>
      <c r="CV649" s="52"/>
      <c r="CW649" s="52"/>
      <c r="CX649" s="52"/>
      <c r="CY649" s="52"/>
      <c r="CZ649" s="52"/>
      <c r="DA649" s="52"/>
      <c r="DB649" s="52"/>
    </row>
    <row r="650" spans="1:106" ht="12.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211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8"/>
      <c r="CV650" s="52"/>
      <c r="CW650" s="52"/>
      <c r="CX650" s="52"/>
      <c r="CY650" s="52"/>
      <c r="CZ650" s="52"/>
      <c r="DA650" s="52"/>
      <c r="DB650" s="52"/>
    </row>
    <row r="651" spans="1:106" ht="12.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211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52"/>
      <c r="CU651" s="58"/>
      <c r="CV651" s="52"/>
      <c r="CW651" s="52"/>
      <c r="CX651" s="52"/>
      <c r="CY651" s="52"/>
      <c r="CZ651" s="52"/>
      <c r="DA651" s="52"/>
      <c r="DB651" s="52"/>
    </row>
    <row r="652" spans="1:106" ht="12.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211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52"/>
      <c r="CU652" s="58"/>
      <c r="CV652" s="52"/>
      <c r="CW652" s="52"/>
      <c r="CX652" s="52"/>
      <c r="CY652" s="52"/>
      <c r="CZ652" s="52"/>
      <c r="DA652" s="52"/>
      <c r="DB652" s="52"/>
    </row>
    <row r="653" spans="1:106" ht="12.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211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52"/>
      <c r="CU653" s="58"/>
      <c r="CV653" s="52"/>
      <c r="CW653" s="52"/>
      <c r="CX653" s="52"/>
      <c r="CY653" s="52"/>
      <c r="CZ653" s="52"/>
      <c r="DA653" s="52"/>
      <c r="DB653" s="52"/>
    </row>
    <row r="654" spans="1:106" ht="12.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211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52"/>
      <c r="CU654" s="58"/>
      <c r="CV654" s="52"/>
      <c r="CW654" s="52"/>
      <c r="CX654" s="52"/>
      <c r="CY654" s="52"/>
      <c r="CZ654" s="52"/>
      <c r="DA654" s="52"/>
      <c r="DB654" s="52"/>
    </row>
    <row r="655" spans="1:106" ht="12.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211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52"/>
      <c r="CU655" s="58"/>
      <c r="CV655" s="52"/>
      <c r="CW655" s="52"/>
      <c r="CX655" s="52"/>
      <c r="CY655" s="52"/>
      <c r="CZ655" s="52"/>
      <c r="DA655" s="52"/>
      <c r="DB655" s="52"/>
    </row>
    <row r="656" spans="1:106" ht="12.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211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52"/>
      <c r="CU656" s="58"/>
      <c r="CV656" s="52"/>
      <c r="CW656" s="52"/>
      <c r="CX656" s="52"/>
      <c r="CY656" s="52"/>
      <c r="CZ656" s="52"/>
      <c r="DA656" s="52"/>
      <c r="DB656" s="52"/>
    </row>
    <row r="657" spans="1:106" ht="12.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211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52"/>
      <c r="CU657" s="58"/>
      <c r="CV657" s="52"/>
      <c r="CW657" s="52"/>
      <c r="CX657" s="52"/>
      <c r="CY657" s="52"/>
      <c r="CZ657" s="52"/>
      <c r="DA657" s="52"/>
      <c r="DB657" s="52"/>
    </row>
    <row r="658" spans="1:106" ht="12.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211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52"/>
      <c r="CU658" s="58"/>
      <c r="CV658" s="52"/>
      <c r="CW658" s="52"/>
      <c r="CX658" s="52"/>
      <c r="CY658" s="52"/>
      <c r="CZ658" s="52"/>
      <c r="DA658" s="52"/>
      <c r="DB658" s="52"/>
    </row>
    <row r="659" spans="1:106" ht="12.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211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52"/>
      <c r="CU659" s="58"/>
      <c r="CV659" s="52"/>
      <c r="CW659" s="52"/>
      <c r="CX659" s="52"/>
      <c r="CY659" s="52"/>
      <c r="CZ659" s="52"/>
      <c r="DA659" s="52"/>
      <c r="DB659" s="52"/>
    </row>
    <row r="660" spans="1:106" ht="12.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211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2"/>
      <c r="CQ660" s="52"/>
      <c r="CR660" s="52"/>
      <c r="CS660" s="52"/>
      <c r="CT660" s="52"/>
      <c r="CU660" s="58"/>
      <c r="CV660" s="52"/>
      <c r="CW660" s="52"/>
      <c r="CX660" s="52"/>
      <c r="CY660" s="52"/>
      <c r="CZ660" s="52"/>
      <c r="DA660" s="52"/>
      <c r="DB660" s="52"/>
    </row>
    <row r="661" spans="1:106" ht="12.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211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2"/>
      <c r="CQ661" s="52"/>
      <c r="CR661" s="52"/>
      <c r="CS661" s="52"/>
      <c r="CT661" s="52"/>
      <c r="CU661" s="58"/>
      <c r="CV661" s="52"/>
      <c r="CW661" s="52"/>
      <c r="CX661" s="52"/>
      <c r="CY661" s="52"/>
      <c r="CZ661" s="52"/>
      <c r="DA661" s="52"/>
      <c r="DB661" s="52"/>
    </row>
    <row r="662" spans="1:106" ht="12.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211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  <c r="CS662" s="52"/>
      <c r="CT662" s="52"/>
      <c r="CU662" s="58"/>
      <c r="CV662" s="52"/>
      <c r="CW662" s="52"/>
      <c r="CX662" s="52"/>
      <c r="CY662" s="52"/>
      <c r="CZ662" s="52"/>
      <c r="DA662" s="52"/>
      <c r="DB662" s="52"/>
    </row>
    <row r="663" spans="1:106" ht="12.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211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2"/>
      <c r="CQ663" s="52"/>
      <c r="CR663" s="52"/>
      <c r="CS663" s="52"/>
      <c r="CT663" s="52"/>
      <c r="CU663" s="58"/>
      <c r="CV663" s="52"/>
      <c r="CW663" s="52"/>
      <c r="CX663" s="52"/>
      <c r="CY663" s="52"/>
      <c r="CZ663" s="52"/>
      <c r="DA663" s="52"/>
      <c r="DB663" s="52"/>
    </row>
    <row r="664" spans="1:106" ht="12.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211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/>
      <c r="CS664" s="52"/>
      <c r="CT664" s="52"/>
      <c r="CU664" s="58"/>
      <c r="CV664" s="52"/>
      <c r="CW664" s="52"/>
      <c r="CX664" s="52"/>
      <c r="CY664" s="52"/>
      <c r="CZ664" s="52"/>
      <c r="DA664" s="52"/>
      <c r="DB664" s="52"/>
    </row>
    <row r="665" spans="1:106" ht="12.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211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8"/>
      <c r="CV665" s="52"/>
      <c r="CW665" s="52"/>
      <c r="CX665" s="52"/>
      <c r="CY665" s="52"/>
      <c r="CZ665" s="52"/>
      <c r="DA665" s="52"/>
      <c r="DB665" s="52"/>
    </row>
    <row r="666" spans="1:106" ht="12.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211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8"/>
      <c r="CV666" s="52"/>
      <c r="CW666" s="52"/>
      <c r="CX666" s="52"/>
      <c r="CY666" s="52"/>
      <c r="CZ666" s="52"/>
      <c r="DA666" s="52"/>
      <c r="DB666" s="52"/>
    </row>
    <row r="667" spans="1:106" ht="12.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211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8"/>
      <c r="CV667" s="52"/>
      <c r="CW667" s="52"/>
      <c r="CX667" s="52"/>
      <c r="CY667" s="52"/>
      <c r="CZ667" s="52"/>
      <c r="DA667" s="52"/>
      <c r="DB667" s="52"/>
    </row>
    <row r="668" spans="1:106" ht="12.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211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8"/>
      <c r="CV668" s="52"/>
      <c r="CW668" s="52"/>
      <c r="CX668" s="52"/>
      <c r="CY668" s="52"/>
      <c r="CZ668" s="52"/>
      <c r="DA668" s="52"/>
      <c r="DB668" s="52"/>
    </row>
    <row r="669" spans="1:106" ht="12.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211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  <c r="CS669" s="52"/>
      <c r="CT669" s="52"/>
      <c r="CU669" s="58"/>
      <c r="CV669" s="52"/>
      <c r="CW669" s="52"/>
      <c r="CX669" s="52"/>
      <c r="CY669" s="52"/>
      <c r="CZ669" s="52"/>
      <c r="DA669" s="52"/>
      <c r="DB669" s="52"/>
    </row>
    <row r="670" spans="1:106" ht="12.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211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8"/>
      <c r="CV670" s="52"/>
      <c r="CW670" s="52"/>
      <c r="CX670" s="52"/>
      <c r="CY670" s="52"/>
      <c r="CZ670" s="52"/>
      <c r="DA670" s="52"/>
      <c r="DB670" s="52"/>
    </row>
    <row r="671" spans="1:106" ht="12.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211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8"/>
      <c r="CV671" s="52"/>
      <c r="CW671" s="52"/>
      <c r="CX671" s="52"/>
      <c r="CY671" s="52"/>
      <c r="CZ671" s="52"/>
      <c r="DA671" s="52"/>
      <c r="DB671" s="52"/>
    </row>
    <row r="672" spans="1:106" ht="12.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211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  <c r="CS672" s="52"/>
      <c r="CT672" s="52"/>
      <c r="CU672" s="58"/>
      <c r="CV672" s="52"/>
      <c r="CW672" s="52"/>
      <c r="CX672" s="52"/>
      <c r="CY672" s="52"/>
      <c r="CZ672" s="52"/>
      <c r="DA672" s="52"/>
      <c r="DB672" s="52"/>
    </row>
    <row r="673" spans="1:106" ht="12.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211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8"/>
      <c r="CV673" s="52"/>
      <c r="CW673" s="52"/>
      <c r="CX673" s="52"/>
      <c r="CY673" s="52"/>
      <c r="CZ673" s="52"/>
      <c r="DA673" s="52"/>
      <c r="DB673" s="52"/>
    </row>
    <row r="674" spans="1:106" ht="12.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211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8"/>
      <c r="CV674" s="52"/>
      <c r="CW674" s="52"/>
      <c r="CX674" s="52"/>
      <c r="CY674" s="52"/>
      <c r="CZ674" s="52"/>
      <c r="DA674" s="52"/>
      <c r="DB674" s="52"/>
    </row>
    <row r="675" spans="1:106" ht="12.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211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  <c r="CS675" s="52"/>
      <c r="CT675" s="52"/>
      <c r="CU675" s="58"/>
      <c r="CV675" s="52"/>
      <c r="CW675" s="52"/>
      <c r="CX675" s="52"/>
      <c r="CY675" s="52"/>
      <c r="CZ675" s="52"/>
      <c r="DA675" s="52"/>
      <c r="DB675" s="52"/>
    </row>
    <row r="676" spans="1:106" ht="12.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211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  <c r="CS676" s="52"/>
      <c r="CT676" s="52"/>
      <c r="CU676" s="58"/>
      <c r="CV676" s="52"/>
      <c r="CW676" s="52"/>
      <c r="CX676" s="52"/>
      <c r="CY676" s="52"/>
      <c r="CZ676" s="52"/>
      <c r="DA676" s="52"/>
      <c r="DB676" s="52"/>
    </row>
    <row r="677" spans="1:106" ht="12.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211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8"/>
      <c r="CV677" s="52"/>
      <c r="CW677" s="52"/>
      <c r="CX677" s="52"/>
      <c r="CY677" s="52"/>
      <c r="CZ677" s="52"/>
      <c r="DA677" s="52"/>
      <c r="DB677" s="52"/>
    </row>
    <row r="678" spans="1:106" ht="12.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211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8"/>
      <c r="CV678" s="52"/>
      <c r="CW678" s="52"/>
      <c r="CX678" s="52"/>
      <c r="CY678" s="52"/>
      <c r="CZ678" s="52"/>
      <c r="DA678" s="52"/>
      <c r="DB678" s="52"/>
    </row>
    <row r="679" spans="1:106" ht="12.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211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  <c r="CS679" s="52"/>
      <c r="CT679" s="52"/>
      <c r="CU679" s="58"/>
      <c r="CV679" s="52"/>
      <c r="CW679" s="52"/>
      <c r="CX679" s="52"/>
      <c r="CY679" s="52"/>
      <c r="CZ679" s="52"/>
      <c r="DA679" s="52"/>
      <c r="DB679" s="52"/>
    </row>
    <row r="680" spans="1:106" ht="12.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211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8"/>
      <c r="CV680" s="52"/>
      <c r="CW680" s="52"/>
      <c r="CX680" s="52"/>
      <c r="CY680" s="52"/>
      <c r="CZ680" s="52"/>
      <c r="DA680" s="52"/>
      <c r="DB680" s="52"/>
    </row>
    <row r="681" spans="1:106" ht="12.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211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  <c r="CS681" s="52"/>
      <c r="CT681" s="52"/>
      <c r="CU681" s="58"/>
      <c r="CV681" s="52"/>
      <c r="CW681" s="52"/>
      <c r="CX681" s="52"/>
      <c r="CY681" s="52"/>
      <c r="CZ681" s="52"/>
      <c r="DA681" s="52"/>
      <c r="DB681" s="52"/>
    </row>
    <row r="682" spans="1:106" ht="12.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211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2"/>
      <c r="CQ682" s="52"/>
      <c r="CR682" s="52"/>
      <c r="CS682" s="52"/>
      <c r="CT682" s="52"/>
      <c r="CU682" s="58"/>
      <c r="CV682" s="52"/>
      <c r="CW682" s="52"/>
      <c r="CX682" s="52"/>
      <c r="CY682" s="52"/>
      <c r="CZ682" s="52"/>
      <c r="DA682" s="52"/>
      <c r="DB682" s="52"/>
    </row>
    <row r="683" spans="1:106" ht="12.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211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8"/>
      <c r="CV683" s="52"/>
      <c r="CW683" s="52"/>
      <c r="CX683" s="52"/>
      <c r="CY683" s="52"/>
      <c r="CZ683" s="52"/>
      <c r="DA683" s="52"/>
      <c r="DB683" s="52"/>
    </row>
    <row r="684" spans="1:106" ht="12.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211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  <c r="CS684" s="52"/>
      <c r="CT684" s="52"/>
      <c r="CU684" s="58"/>
      <c r="CV684" s="52"/>
      <c r="CW684" s="52"/>
      <c r="CX684" s="52"/>
      <c r="CY684" s="52"/>
      <c r="CZ684" s="52"/>
      <c r="DA684" s="52"/>
      <c r="DB684" s="52"/>
    </row>
    <row r="685" spans="1:106" ht="12.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211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2"/>
      <c r="CQ685" s="52"/>
      <c r="CR685" s="52"/>
      <c r="CS685" s="52"/>
      <c r="CT685" s="52"/>
      <c r="CU685" s="58"/>
      <c r="CV685" s="52"/>
      <c r="CW685" s="52"/>
      <c r="CX685" s="52"/>
      <c r="CY685" s="52"/>
      <c r="CZ685" s="52"/>
      <c r="DA685" s="52"/>
      <c r="DB685" s="52"/>
    </row>
    <row r="686" spans="1:106" ht="12.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211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  <c r="CS686" s="52"/>
      <c r="CT686" s="52"/>
      <c r="CU686" s="58"/>
      <c r="CV686" s="52"/>
      <c r="CW686" s="52"/>
      <c r="CX686" s="52"/>
      <c r="CY686" s="52"/>
      <c r="CZ686" s="52"/>
      <c r="DA686" s="52"/>
      <c r="DB686" s="52"/>
    </row>
    <row r="687" spans="1:106" ht="12.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211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52"/>
      <c r="CU687" s="58"/>
      <c r="CV687" s="52"/>
      <c r="CW687" s="52"/>
      <c r="CX687" s="52"/>
      <c r="CY687" s="52"/>
      <c r="CZ687" s="52"/>
      <c r="DA687" s="52"/>
      <c r="DB687" s="52"/>
    </row>
    <row r="688" spans="1:106" ht="12.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211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2"/>
      <c r="CQ688" s="52"/>
      <c r="CR688" s="52"/>
      <c r="CS688" s="52"/>
      <c r="CT688" s="52"/>
      <c r="CU688" s="58"/>
      <c r="CV688" s="52"/>
      <c r="CW688" s="52"/>
      <c r="CX688" s="52"/>
      <c r="CY688" s="52"/>
      <c r="CZ688" s="52"/>
      <c r="DA688" s="52"/>
      <c r="DB688" s="52"/>
    </row>
    <row r="689" spans="1:106" ht="12.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211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52"/>
      <c r="CU689" s="58"/>
      <c r="CV689" s="52"/>
      <c r="CW689" s="52"/>
      <c r="CX689" s="52"/>
      <c r="CY689" s="52"/>
      <c r="CZ689" s="52"/>
      <c r="DA689" s="52"/>
      <c r="DB689" s="52"/>
    </row>
    <row r="690" spans="1:106" ht="12.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211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52"/>
      <c r="CU690" s="58"/>
      <c r="CV690" s="52"/>
      <c r="CW690" s="52"/>
      <c r="CX690" s="52"/>
      <c r="CY690" s="52"/>
      <c r="CZ690" s="52"/>
      <c r="DA690" s="52"/>
      <c r="DB690" s="52"/>
    </row>
    <row r="691" spans="1:106" ht="12.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211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52"/>
      <c r="CU691" s="58"/>
      <c r="CV691" s="52"/>
      <c r="CW691" s="52"/>
      <c r="CX691" s="52"/>
      <c r="CY691" s="52"/>
      <c r="CZ691" s="52"/>
      <c r="DA691" s="52"/>
      <c r="DB691" s="52"/>
    </row>
    <row r="692" spans="1:106" ht="12.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211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52"/>
      <c r="CU692" s="58"/>
      <c r="CV692" s="52"/>
      <c r="CW692" s="52"/>
      <c r="CX692" s="52"/>
      <c r="CY692" s="52"/>
      <c r="CZ692" s="52"/>
      <c r="DA692" s="52"/>
      <c r="DB692" s="52"/>
    </row>
    <row r="693" spans="1:106" ht="12.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211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52"/>
      <c r="CU693" s="58"/>
      <c r="CV693" s="52"/>
      <c r="CW693" s="52"/>
      <c r="CX693" s="52"/>
      <c r="CY693" s="52"/>
      <c r="CZ693" s="52"/>
      <c r="DA693" s="52"/>
      <c r="DB693" s="52"/>
    </row>
    <row r="694" spans="1:106" ht="12.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211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52"/>
      <c r="CU694" s="58"/>
      <c r="CV694" s="52"/>
      <c r="CW694" s="52"/>
      <c r="CX694" s="52"/>
      <c r="CY694" s="52"/>
      <c r="CZ694" s="52"/>
      <c r="DA694" s="52"/>
      <c r="DB694" s="52"/>
    </row>
    <row r="695" spans="1:106" ht="12.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211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52"/>
      <c r="CU695" s="58"/>
      <c r="CV695" s="52"/>
      <c r="CW695" s="52"/>
      <c r="CX695" s="52"/>
      <c r="CY695" s="52"/>
      <c r="CZ695" s="52"/>
      <c r="DA695" s="52"/>
      <c r="DB695" s="52"/>
    </row>
    <row r="696" spans="1:106" ht="12.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211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52"/>
      <c r="CU696" s="58"/>
      <c r="CV696" s="52"/>
      <c r="CW696" s="52"/>
      <c r="CX696" s="52"/>
      <c r="CY696" s="52"/>
      <c r="CZ696" s="52"/>
      <c r="DA696" s="52"/>
      <c r="DB696" s="52"/>
    </row>
    <row r="697" spans="1:106" ht="12.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211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52"/>
      <c r="CU697" s="58"/>
      <c r="CV697" s="52"/>
      <c r="CW697" s="52"/>
      <c r="CX697" s="52"/>
      <c r="CY697" s="52"/>
      <c r="CZ697" s="52"/>
      <c r="DA697" s="52"/>
      <c r="DB697" s="52"/>
    </row>
    <row r="698" spans="1:106" ht="12.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211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52"/>
      <c r="CU698" s="58"/>
      <c r="CV698" s="52"/>
      <c r="CW698" s="52"/>
      <c r="CX698" s="52"/>
      <c r="CY698" s="52"/>
      <c r="CZ698" s="52"/>
      <c r="DA698" s="52"/>
      <c r="DB698" s="52"/>
    </row>
    <row r="699" spans="1:106" ht="12.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211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52"/>
      <c r="CU699" s="58"/>
      <c r="CV699" s="52"/>
      <c r="CW699" s="52"/>
      <c r="CX699" s="52"/>
      <c r="CY699" s="52"/>
      <c r="CZ699" s="52"/>
      <c r="DA699" s="52"/>
      <c r="DB699" s="52"/>
    </row>
    <row r="700" spans="1:106" ht="12.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211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2"/>
      <c r="CQ700" s="52"/>
      <c r="CR700" s="52"/>
      <c r="CS700" s="52"/>
      <c r="CT700" s="52"/>
      <c r="CU700" s="58"/>
      <c r="CV700" s="52"/>
      <c r="CW700" s="52"/>
      <c r="CX700" s="52"/>
      <c r="CY700" s="52"/>
      <c r="CZ700" s="52"/>
      <c r="DA700" s="52"/>
      <c r="DB700" s="52"/>
    </row>
    <row r="701" spans="1:106" ht="12.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211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  <c r="CS701" s="52"/>
      <c r="CT701" s="52"/>
      <c r="CU701" s="58"/>
      <c r="CV701" s="52"/>
      <c r="CW701" s="52"/>
      <c r="CX701" s="52"/>
      <c r="CY701" s="52"/>
      <c r="CZ701" s="52"/>
      <c r="DA701" s="52"/>
      <c r="DB701" s="52"/>
    </row>
    <row r="702" spans="1:106" ht="12.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211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2"/>
      <c r="CQ702" s="52"/>
      <c r="CR702" s="52"/>
      <c r="CS702" s="52"/>
      <c r="CT702" s="52"/>
      <c r="CU702" s="58"/>
      <c r="CV702" s="52"/>
      <c r="CW702" s="52"/>
      <c r="CX702" s="52"/>
      <c r="CY702" s="52"/>
      <c r="CZ702" s="52"/>
      <c r="DA702" s="52"/>
      <c r="DB702" s="52"/>
    </row>
    <row r="703" spans="1:106" ht="12.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211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2"/>
      <c r="CQ703" s="52"/>
      <c r="CR703" s="52"/>
      <c r="CS703" s="52"/>
      <c r="CT703" s="52"/>
      <c r="CU703" s="58"/>
      <c r="CV703" s="52"/>
      <c r="CW703" s="52"/>
      <c r="CX703" s="52"/>
      <c r="CY703" s="52"/>
      <c r="CZ703" s="52"/>
      <c r="DA703" s="52"/>
      <c r="DB703" s="52"/>
    </row>
    <row r="704" spans="1:106" ht="12.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211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  <c r="CS704" s="52"/>
      <c r="CT704" s="52"/>
      <c r="CU704" s="58"/>
      <c r="CV704" s="52"/>
      <c r="CW704" s="52"/>
      <c r="CX704" s="52"/>
      <c r="CY704" s="52"/>
      <c r="CZ704" s="52"/>
      <c r="DA704" s="52"/>
      <c r="DB704" s="52"/>
    </row>
    <row r="705" spans="1:106" ht="12.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211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2"/>
      <c r="CQ705" s="52"/>
      <c r="CR705" s="52"/>
      <c r="CS705" s="52"/>
      <c r="CT705" s="52"/>
      <c r="CU705" s="58"/>
      <c r="CV705" s="52"/>
      <c r="CW705" s="52"/>
      <c r="CX705" s="52"/>
      <c r="CY705" s="52"/>
      <c r="CZ705" s="52"/>
      <c r="DA705" s="52"/>
      <c r="DB705" s="52"/>
    </row>
    <row r="706" spans="1:106" ht="12.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211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2"/>
      <c r="CQ706" s="52"/>
      <c r="CR706" s="52"/>
      <c r="CS706" s="52"/>
      <c r="CT706" s="52"/>
      <c r="CU706" s="58"/>
      <c r="CV706" s="52"/>
      <c r="CW706" s="52"/>
      <c r="CX706" s="52"/>
      <c r="CY706" s="52"/>
      <c r="CZ706" s="52"/>
      <c r="DA706" s="52"/>
      <c r="DB706" s="52"/>
    </row>
    <row r="707" spans="1:106" ht="12.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211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  <c r="CS707" s="52"/>
      <c r="CT707" s="52"/>
      <c r="CU707" s="58"/>
      <c r="CV707" s="52"/>
      <c r="CW707" s="52"/>
      <c r="CX707" s="52"/>
      <c r="CY707" s="52"/>
      <c r="CZ707" s="52"/>
      <c r="DA707" s="52"/>
      <c r="DB707" s="52"/>
    </row>
    <row r="708" spans="1:106" ht="12.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211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2"/>
      <c r="CQ708" s="52"/>
      <c r="CR708" s="52"/>
      <c r="CS708" s="52"/>
      <c r="CT708" s="52"/>
      <c r="CU708" s="58"/>
      <c r="CV708" s="52"/>
      <c r="CW708" s="52"/>
      <c r="CX708" s="52"/>
      <c r="CY708" s="52"/>
      <c r="CZ708" s="52"/>
      <c r="DA708" s="52"/>
      <c r="DB708" s="52"/>
    </row>
    <row r="709" spans="1:106" ht="12.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211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2"/>
      <c r="CQ709" s="52"/>
      <c r="CR709" s="52"/>
      <c r="CS709" s="52"/>
      <c r="CT709" s="52"/>
      <c r="CU709" s="58"/>
      <c r="CV709" s="52"/>
      <c r="CW709" s="52"/>
      <c r="CX709" s="52"/>
      <c r="CY709" s="52"/>
      <c r="CZ709" s="52"/>
      <c r="DA709" s="52"/>
      <c r="DB709" s="52"/>
    </row>
    <row r="710" spans="1:106" ht="12.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211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  <c r="CS710" s="52"/>
      <c r="CT710" s="52"/>
      <c r="CU710" s="58"/>
      <c r="CV710" s="52"/>
      <c r="CW710" s="52"/>
      <c r="CX710" s="52"/>
      <c r="CY710" s="52"/>
      <c r="CZ710" s="52"/>
      <c r="DA710" s="52"/>
      <c r="DB710" s="52"/>
    </row>
    <row r="711" spans="1:106" ht="12.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211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2"/>
      <c r="CQ711" s="52"/>
      <c r="CR711" s="52"/>
      <c r="CS711" s="52"/>
      <c r="CT711" s="52"/>
      <c r="CU711" s="58"/>
      <c r="CV711" s="52"/>
      <c r="CW711" s="52"/>
      <c r="CX711" s="52"/>
      <c r="CY711" s="52"/>
      <c r="CZ711" s="52"/>
      <c r="DA711" s="52"/>
      <c r="DB711" s="52"/>
    </row>
    <row r="712" spans="1:106" ht="12.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211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2"/>
      <c r="CQ712" s="52"/>
      <c r="CR712" s="52"/>
      <c r="CS712" s="52"/>
      <c r="CT712" s="52"/>
      <c r="CU712" s="58"/>
      <c r="CV712" s="52"/>
      <c r="CW712" s="52"/>
      <c r="CX712" s="52"/>
      <c r="CY712" s="52"/>
      <c r="CZ712" s="52"/>
      <c r="DA712" s="52"/>
      <c r="DB712" s="52"/>
    </row>
    <row r="713" spans="1:106" ht="12.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211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  <c r="CS713" s="52"/>
      <c r="CT713" s="52"/>
      <c r="CU713" s="58"/>
      <c r="CV713" s="52"/>
      <c r="CW713" s="52"/>
      <c r="CX713" s="52"/>
      <c r="CY713" s="52"/>
      <c r="CZ713" s="52"/>
      <c r="DA713" s="52"/>
      <c r="DB713" s="52"/>
    </row>
    <row r="714" spans="1:106" ht="12.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211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2"/>
      <c r="CQ714" s="52"/>
      <c r="CR714" s="52"/>
      <c r="CS714" s="52"/>
      <c r="CT714" s="52"/>
      <c r="CU714" s="58"/>
      <c r="CV714" s="52"/>
      <c r="CW714" s="52"/>
      <c r="CX714" s="52"/>
      <c r="CY714" s="52"/>
      <c r="CZ714" s="52"/>
      <c r="DA714" s="52"/>
      <c r="DB714" s="52"/>
    </row>
    <row r="715" spans="1:106" ht="12.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211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2"/>
      <c r="CQ715" s="52"/>
      <c r="CR715" s="52"/>
      <c r="CS715" s="52"/>
      <c r="CT715" s="52"/>
      <c r="CU715" s="58"/>
      <c r="CV715" s="52"/>
      <c r="CW715" s="52"/>
      <c r="CX715" s="52"/>
      <c r="CY715" s="52"/>
      <c r="CZ715" s="52"/>
      <c r="DA715" s="52"/>
      <c r="DB715" s="52"/>
    </row>
    <row r="716" spans="1:106" ht="12.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211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  <c r="CS716" s="52"/>
      <c r="CT716" s="52"/>
      <c r="CU716" s="58"/>
      <c r="CV716" s="52"/>
      <c r="CW716" s="52"/>
      <c r="CX716" s="52"/>
      <c r="CY716" s="52"/>
      <c r="CZ716" s="52"/>
      <c r="DA716" s="52"/>
      <c r="DB716" s="52"/>
    </row>
    <row r="717" spans="1:106" ht="12.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211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2"/>
      <c r="CQ717" s="52"/>
      <c r="CR717" s="52"/>
      <c r="CS717" s="52"/>
      <c r="CT717" s="52"/>
      <c r="CU717" s="58"/>
      <c r="CV717" s="52"/>
      <c r="CW717" s="52"/>
      <c r="CX717" s="52"/>
      <c r="CY717" s="52"/>
      <c r="CZ717" s="52"/>
      <c r="DA717" s="52"/>
      <c r="DB717" s="52"/>
    </row>
    <row r="718" spans="1:106" ht="12.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211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2"/>
      <c r="CQ718" s="52"/>
      <c r="CR718" s="52"/>
      <c r="CS718" s="52"/>
      <c r="CT718" s="52"/>
      <c r="CU718" s="58"/>
      <c r="CV718" s="52"/>
      <c r="CW718" s="52"/>
      <c r="CX718" s="52"/>
      <c r="CY718" s="52"/>
      <c r="CZ718" s="52"/>
      <c r="DA718" s="52"/>
      <c r="DB718" s="52"/>
    </row>
    <row r="719" spans="1:106" ht="12.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211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  <c r="CS719" s="52"/>
      <c r="CT719" s="52"/>
      <c r="CU719" s="58"/>
      <c r="CV719" s="52"/>
      <c r="CW719" s="52"/>
      <c r="CX719" s="52"/>
      <c r="CY719" s="52"/>
      <c r="CZ719" s="52"/>
      <c r="DA719" s="52"/>
      <c r="DB719" s="52"/>
    </row>
    <row r="720" spans="1:106" ht="12.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211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2"/>
      <c r="CQ720" s="52"/>
      <c r="CR720" s="52"/>
      <c r="CS720" s="52"/>
      <c r="CT720" s="52"/>
      <c r="CU720" s="58"/>
      <c r="CV720" s="52"/>
      <c r="CW720" s="52"/>
      <c r="CX720" s="52"/>
      <c r="CY720" s="52"/>
      <c r="CZ720" s="52"/>
      <c r="DA720" s="52"/>
      <c r="DB720" s="52"/>
    </row>
    <row r="721" spans="1:106" ht="12.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211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2"/>
      <c r="CQ721" s="52"/>
      <c r="CR721" s="52"/>
      <c r="CS721" s="52"/>
      <c r="CT721" s="52"/>
      <c r="CU721" s="58"/>
      <c r="CV721" s="52"/>
      <c r="CW721" s="52"/>
      <c r="CX721" s="52"/>
      <c r="CY721" s="52"/>
      <c r="CZ721" s="52"/>
      <c r="DA721" s="52"/>
      <c r="DB721" s="52"/>
    </row>
    <row r="722" spans="1:106" ht="12.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211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  <c r="CS722" s="52"/>
      <c r="CT722" s="52"/>
      <c r="CU722" s="58"/>
      <c r="CV722" s="52"/>
      <c r="CW722" s="52"/>
      <c r="CX722" s="52"/>
      <c r="CY722" s="52"/>
      <c r="CZ722" s="52"/>
      <c r="DA722" s="52"/>
      <c r="DB722" s="52"/>
    </row>
    <row r="723" spans="1:106" ht="12.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211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2"/>
      <c r="CQ723" s="52"/>
      <c r="CR723" s="52"/>
      <c r="CS723" s="52"/>
      <c r="CT723" s="52"/>
      <c r="CU723" s="58"/>
      <c r="CV723" s="52"/>
      <c r="CW723" s="52"/>
      <c r="CX723" s="52"/>
      <c r="CY723" s="52"/>
      <c r="CZ723" s="52"/>
      <c r="DA723" s="52"/>
      <c r="DB723" s="52"/>
    </row>
    <row r="724" spans="1:106" ht="12.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211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2"/>
      <c r="CQ724" s="52"/>
      <c r="CR724" s="52"/>
      <c r="CS724" s="52"/>
      <c r="CT724" s="52"/>
      <c r="CU724" s="58"/>
      <c r="CV724" s="52"/>
      <c r="CW724" s="52"/>
      <c r="CX724" s="52"/>
      <c r="CY724" s="52"/>
      <c r="CZ724" s="52"/>
      <c r="DA724" s="52"/>
      <c r="DB724" s="52"/>
    </row>
    <row r="725" spans="1:106" ht="12.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211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  <c r="CS725" s="52"/>
      <c r="CT725" s="52"/>
      <c r="CU725" s="58"/>
      <c r="CV725" s="52"/>
      <c r="CW725" s="52"/>
      <c r="CX725" s="52"/>
      <c r="CY725" s="52"/>
      <c r="CZ725" s="52"/>
      <c r="DA725" s="52"/>
      <c r="DB725" s="52"/>
    </row>
    <row r="726" spans="1:106" ht="12.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211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2"/>
      <c r="CQ726" s="52"/>
      <c r="CR726" s="52"/>
      <c r="CS726" s="52"/>
      <c r="CT726" s="52"/>
      <c r="CU726" s="58"/>
      <c r="CV726" s="52"/>
      <c r="CW726" s="52"/>
      <c r="CX726" s="52"/>
      <c r="CY726" s="52"/>
      <c r="CZ726" s="52"/>
      <c r="DA726" s="52"/>
      <c r="DB726" s="52"/>
    </row>
    <row r="727" spans="1:106" ht="12.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211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52"/>
      <c r="CU727" s="58"/>
      <c r="CV727" s="52"/>
      <c r="CW727" s="52"/>
      <c r="CX727" s="52"/>
      <c r="CY727" s="52"/>
      <c r="CZ727" s="52"/>
      <c r="DA727" s="52"/>
      <c r="DB727" s="52"/>
    </row>
    <row r="728" spans="1:106" ht="12.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211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  <c r="CS728" s="52"/>
      <c r="CT728" s="52"/>
      <c r="CU728" s="58"/>
      <c r="CV728" s="52"/>
      <c r="CW728" s="52"/>
      <c r="CX728" s="52"/>
      <c r="CY728" s="52"/>
      <c r="CZ728" s="52"/>
      <c r="DA728" s="52"/>
      <c r="DB728" s="52"/>
    </row>
    <row r="729" spans="1:106" ht="12.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211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52"/>
      <c r="CU729" s="58"/>
      <c r="CV729" s="52"/>
      <c r="CW729" s="52"/>
      <c r="CX729" s="52"/>
      <c r="CY729" s="52"/>
      <c r="CZ729" s="52"/>
      <c r="DA729" s="52"/>
      <c r="DB729" s="52"/>
    </row>
    <row r="730" spans="1:106" ht="12.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211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52"/>
      <c r="CU730" s="58"/>
      <c r="CV730" s="52"/>
      <c r="CW730" s="52"/>
      <c r="CX730" s="52"/>
      <c r="CY730" s="52"/>
      <c r="CZ730" s="52"/>
      <c r="DA730" s="52"/>
      <c r="DB730" s="52"/>
    </row>
    <row r="731" spans="1:106" ht="12.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211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8"/>
      <c r="CV731" s="52"/>
      <c r="CW731" s="52"/>
      <c r="CX731" s="52"/>
      <c r="CY731" s="52"/>
      <c r="CZ731" s="52"/>
      <c r="DA731" s="52"/>
      <c r="DB731" s="52"/>
    </row>
    <row r="732" spans="1:106" ht="12.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211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52"/>
      <c r="CU732" s="58"/>
      <c r="CV732" s="52"/>
      <c r="CW732" s="52"/>
      <c r="CX732" s="52"/>
      <c r="CY732" s="52"/>
      <c r="CZ732" s="52"/>
      <c r="DA732" s="52"/>
      <c r="DB732" s="52"/>
    </row>
    <row r="733" spans="1:106" ht="12.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211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52"/>
      <c r="CU733" s="58"/>
      <c r="CV733" s="52"/>
      <c r="CW733" s="52"/>
      <c r="CX733" s="52"/>
      <c r="CY733" s="52"/>
      <c r="CZ733" s="52"/>
      <c r="DA733" s="52"/>
      <c r="DB733" s="52"/>
    </row>
    <row r="734" spans="1:106" ht="12.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211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8"/>
      <c r="CV734" s="52"/>
      <c r="CW734" s="52"/>
      <c r="CX734" s="52"/>
      <c r="CY734" s="52"/>
      <c r="CZ734" s="52"/>
      <c r="DA734" s="52"/>
      <c r="DB734" s="52"/>
    </row>
    <row r="735" spans="1:106" ht="12.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211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52"/>
      <c r="CU735" s="58"/>
      <c r="CV735" s="52"/>
      <c r="CW735" s="52"/>
      <c r="CX735" s="52"/>
      <c r="CY735" s="52"/>
      <c r="CZ735" s="52"/>
      <c r="DA735" s="52"/>
      <c r="DB735" s="52"/>
    </row>
    <row r="736" spans="1:106" ht="12.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211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52"/>
      <c r="CU736" s="58"/>
      <c r="CV736" s="52"/>
      <c r="CW736" s="52"/>
      <c r="CX736" s="52"/>
      <c r="CY736" s="52"/>
      <c r="CZ736" s="52"/>
      <c r="DA736" s="52"/>
      <c r="DB736" s="52"/>
    </row>
    <row r="737" spans="1:106" ht="12.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211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8"/>
      <c r="CV737" s="52"/>
      <c r="CW737" s="52"/>
      <c r="CX737" s="52"/>
      <c r="CY737" s="52"/>
      <c r="CZ737" s="52"/>
      <c r="DA737" s="52"/>
      <c r="DB737" s="52"/>
    </row>
    <row r="738" spans="1:106" ht="12.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211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52"/>
      <c r="CU738" s="58"/>
      <c r="CV738" s="52"/>
      <c r="CW738" s="52"/>
      <c r="CX738" s="52"/>
      <c r="CY738" s="52"/>
      <c r="CZ738" s="52"/>
      <c r="DA738" s="52"/>
      <c r="DB738" s="52"/>
    </row>
    <row r="739" spans="1:106" ht="12.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211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52"/>
      <c r="CU739" s="58"/>
      <c r="CV739" s="52"/>
      <c r="CW739" s="52"/>
      <c r="CX739" s="52"/>
      <c r="CY739" s="52"/>
      <c r="CZ739" s="52"/>
      <c r="DA739" s="52"/>
      <c r="DB739" s="52"/>
    </row>
    <row r="740" spans="1:106" ht="12.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211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  <c r="CS740" s="52"/>
      <c r="CT740" s="52"/>
      <c r="CU740" s="58"/>
      <c r="CV740" s="52"/>
      <c r="CW740" s="52"/>
      <c r="CX740" s="52"/>
      <c r="CY740" s="52"/>
      <c r="CZ740" s="52"/>
      <c r="DA740" s="52"/>
      <c r="DB740" s="52"/>
    </row>
    <row r="741" spans="1:106" ht="12.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211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2"/>
      <c r="CQ741" s="52"/>
      <c r="CR741" s="52"/>
      <c r="CS741" s="52"/>
      <c r="CT741" s="52"/>
      <c r="CU741" s="58"/>
      <c r="CV741" s="52"/>
      <c r="CW741" s="52"/>
      <c r="CX741" s="52"/>
      <c r="CY741" s="52"/>
      <c r="CZ741" s="52"/>
      <c r="DA741" s="52"/>
      <c r="DB741" s="52"/>
    </row>
    <row r="742" spans="1:106" ht="12.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211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2"/>
      <c r="CQ742" s="52"/>
      <c r="CR742" s="52"/>
      <c r="CS742" s="52"/>
      <c r="CT742" s="52"/>
      <c r="CU742" s="58"/>
      <c r="CV742" s="52"/>
      <c r="CW742" s="52"/>
      <c r="CX742" s="52"/>
      <c r="CY742" s="52"/>
      <c r="CZ742" s="52"/>
      <c r="DA742" s="52"/>
      <c r="DB742" s="52"/>
    </row>
    <row r="743" spans="1:106" ht="12.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211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  <c r="CS743" s="52"/>
      <c r="CT743" s="52"/>
      <c r="CU743" s="58"/>
      <c r="CV743" s="52"/>
      <c r="CW743" s="52"/>
      <c r="CX743" s="52"/>
      <c r="CY743" s="52"/>
      <c r="CZ743" s="52"/>
      <c r="DA743" s="52"/>
      <c r="DB743" s="52"/>
    </row>
    <row r="744" spans="1:106" ht="12.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211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2"/>
      <c r="CQ744" s="52"/>
      <c r="CR744" s="52"/>
      <c r="CS744" s="52"/>
      <c r="CT744" s="52"/>
      <c r="CU744" s="58"/>
      <c r="CV744" s="52"/>
      <c r="CW744" s="52"/>
      <c r="CX744" s="52"/>
      <c r="CY744" s="52"/>
      <c r="CZ744" s="52"/>
      <c r="DA744" s="52"/>
      <c r="DB744" s="52"/>
    </row>
    <row r="745" spans="1:106" ht="12.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211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2"/>
      <c r="CQ745" s="52"/>
      <c r="CR745" s="52"/>
      <c r="CS745" s="52"/>
      <c r="CT745" s="52"/>
      <c r="CU745" s="58"/>
      <c r="CV745" s="52"/>
      <c r="CW745" s="52"/>
      <c r="CX745" s="52"/>
      <c r="CY745" s="52"/>
      <c r="CZ745" s="52"/>
      <c r="DA745" s="52"/>
      <c r="DB745" s="52"/>
    </row>
    <row r="746" spans="1:106" ht="12.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211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  <c r="CS746" s="52"/>
      <c r="CT746" s="52"/>
      <c r="CU746" s="58"/>
      <c r="CV746" s="52"/>
      <c r="CW746" s="52"/>
      <c r="CX746" s="52"/>
      <c r="CY746" s="52"/>
      <c r="CZ746" s="52"/>
      <c r="DA746" s="52"/>
      <c r="DB746" s="52"/>
    </row>
    <row r="747" spans="1:106" ht="12.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211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  <c r="CS747" s="52"/>
      <c r="CT747" s="52"/>
      <c r="CU747" s="58"/>
      <c r="CV747" s="52"/>
      <c r="CW747" s="52"/>
      <c r="CX747" s="52"/>
      <c r="CY747" s="52"/>
      <c r="CZ747" s="52"/>
      <c r="DA747" s="52"/>
      <c r="DB747" s="52"/>
    </row>
    <row r="748" spans="1:106" ht="12.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211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2"/>
      <c r="CQ748" s="52"/>
      <c r="CR748" s="52"/>
      <c r="CS748" s="52"/>
      <c r="CT748" s="52"/>
      <c r="CU748" s="58"/>
      <c r="CV748" s="52"/>
      <c r="CW748" s="52"/>
      <c r="CX748" s="52"/>
      <c r="CY748" s="52"/>
      <c r="CZ748" s="52"/>
      <c r="DA748" s="52"/>
      <c r="DB748" s="52"/>
    </row>
    <row r="749" spans="1:106" ht="12.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211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8"/>
      <c r="CV749" s="52"/>
      <c r="CW749" s="52"/>
      <c r="CX749" s="52"/>
      <c r="CY749" s="52"/>
      <c r="CZ749" s="52"/>
      <c r="DA749" s="52"/>
      <c r="DB749" s="52"/>
    </row>
    <row r="750" spans="1:106" ht="12.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211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2"/>
      <c r="CQ750" s="52"/>
      <c r="CR750" s="52"/>
      <c r="CS750" s="52"/>
      <c r="CT750" s="52"/>
      <c r="CU750" s="58"/>
      <c r="CV750" s="52"/>
      <c r="CW750" s="52"/>
      <c r="CX750" s="52"/>
      <c r="CY750" s="52"/>
      <c r="CZ750" s="52"/>
      <c r="DA750" s="52"/>
      <c r="DB750" s="52"/>
    </row>
    <row r="751" spans="1:106" ht="12.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211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2"/>
      <c r="CQ751" s="52"/>
      <c r="CR751" s="52"/>
      <c r="CS751" s="52"/>
      <c r="CT751" s="52"/>
      <c r="CU751" s="58"/>
      <c r="CV751" s="52"/>
      <c r="CW751" s="52"/>
      <c r="CX751" s="52"/>
      <c r="CY751" s="52"/>
      <c r="CZ751" s="52"/>
      <c r="DA751" s="52"/>
      <c r="DB751" s="52"/>
    </row>
    <row r="752" spans="1:106" ht="12.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211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  <c r="CS752" s="52"/>
      <c r="CT752" s="52"/>
      <c r="CU752" s="58"/>
      <c r="CV752" s="52"/>
      <c r="CW752" s="52"/>
      <c r="CX752" s="52"/>
      <c r="CY752" s="52"/>
      <c r="CZ752" s="52"/>
      <c r="DA752" s="52"/>
      <c r="DB752" s="52"/>
    </row>
    <row r="753" spans="1:106" ht="12.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211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  <c r="CS753" s="52"/>
      <c r="CT753" s="52"/>
      <c r="CU753" s="58"/>
      <c r="CV753" s="52"/>
      <c r="CW753" s="52"/>
      <c r="CX753" s="52"/>
      <c r="CY753" s="52"/>
      <c r="CZ753" s="52"/>
      <c r="DA753" s="52"/>
      <c r="DB753" s="52"/>
    </row>
    <row r="754" spans="1:106" ht="12.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211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2"/>
      <c r="CQ754" s="52"/>
      <c r="CR754" s="52"/>
      <c r="CS754" s="52"/>
      <c r="CT754" s="52"/>
      <c r="CU754" s="58"/>
      <c r="CV754" s="52"/>
      <c r="CW754" s="52"/>
      <c r="CX754" s="52"/>
      <c r="CY754" s="52"/>
      <c r="CZ754" s="52"/>
      <c r="DA754" s="52"/>
      <c r="DB754" s="52"/>
    </row>
    <row r="755" spans="1:106" ht="12.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211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  <c r="CS755" s="52"/>
      <c r="CT755" s="52"/>
      <c r="CU755" s="58"/>
      <c r="CV755" s="52"/>
      <c r="CW755" s="52"/>
      <c r="CX755" s="52"/>
      <c r="CY755" s="52"/>
      <c r="CZ755" s="52"/>
      <c r="DA755" s="52"/>
      <c r="DB755" s="52"/>
    </row>
    <row r="756" spans="1:106" ht="12.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211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2"/>
      <c r="CQ756" s="52"/>
      <c r="CR756" s="52"/>
      <c r="CS756" s="52"/>
      <c r="CT756" s="52"/>
      <c r="CU756" s="58"/>
      <c r="CV756" s="52"/>
      <c r="CW756" s="52"/>
      <c r="CX756" s="52"/>
      <c r="CY756" s="52"/>
      <c r="CZ756" s="52"/>
      <c r="DA756" s="52"/>
      <c r="DB756" s="52"/>
    </row>
    <row r="757" spans="1:106" ht="12.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211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  <c r="CS757" s="52"/>
      <c r="CT757" s="52"/>
      <c r="CU757" s="58"/>
      <c r="CV757" s="52"/>
      <c r="CW757" s="52"/>
      <c r="CX757" s="52"/>
      <c r="CY757" s="52"/>
      <c r="CZ757" s="52"/>
      <c r="DA757" s="52"/>
      <c r="DB757" s="52"/>
    </row>
    <row r="758" spans="1:106" ht="12.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211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  <c r="CS758" s="52"/>
      <c r="CT758" s="52"/>
      <c r="CU758" s="58"/>
      <c r="CV758" s="52"/>
      <c r="CW758" s="52"/>
      <c r="CX758" s="52"/>
      <c r="CY758" s="52"/>
      <c r="CZ758" s="52"/>
      <c r="DA758" s="52"/>
      <c r="DB758" s="52"/>
    </row>
    <row r="759" spans="1:106" ht="12.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211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2"/>
      <c r="CQ759" s="52"/>
      <c r="CR759" s="52"/>
      <c r="CS759" s="52"/>
      <c r="CT759" s="52"/>
      <c r="CU759" s="58"/>
      <c r="CV759" s="52"/>
      <c r="CW759" s="52"/>
      <c r="CX759" s="52"/>
      <c r="CY759" s="52"/>
      <c r="CZ759" s="52"/>
      <c r="DA759" s="52"/>
      <c r="DB759" s="52"/>
    </row>
    <row r="760" spans="1:106" ht="12.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211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2"/>
      <c r="CQ760" s="52"/>
      <c r="CR760" s="52"/>
      <c r="CS760" s="52"/>
      <c r="CT760" s="52"/>
      <c r="CU760" s="58"/>
      <c r="CV760" s="52"/>
      <c r="CW760" s="52"/>
      <c r="CX760" s="52"/>
      <c r="CY760" s="52"/>
      <c r="CZ760" s="52"/>
      <c r="DA760" s="52"/>
      <c r="DB760" s="52"/>
    </row>
    <row r="761" spans="1:106" ht="12.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211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  <c r="CS761" s="52"/>
      <c r="CT761" s="52"/>
      <c r="CU761" s="58"/>
      <c r="CV761" s="52"/>
      <c r="CW761" s="52"/>
      <c r="CX761" s="52"/>
      <c r="CY761" s="52"/>
      <c r="CZ761" s="52"/>
      <c r="DA761" s="52"/>
      <c r="DB761" s="52"/>
    </row>
    <row r="762" spans="1:106" ht="12.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211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2"/>
      <c r="CQ762" s="52"/>
      <c r="CR762" s="52"/>
      <c r="CS762" s="52"/>
      <c r="CT762" s="52"/>
      <c r="CU762" s="58"/>
      <c r="CV762" s="52"/>
      <c r="CW762" s="52"/>
      <c r="CX762" s="52"/>
      <c r="CY762" s="52"/>
      <c r="CZ762" s="52"/>
      <c r="DA762" s="52"/>
      <c r="DB762" s="52"/>
    </row>
    <row r="763" spans="1:106" ht="12.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211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  <c r="CS763" s="52"/>
      <c r="CT763" s="52"/>
      <c r="CU763" s="58"/>
      <c r="CV763" s="52"/>
      <c r="CW763" s="52"/>
      <c r="CX763" s="52"/>
      <c r="CY763" s="52"/>
      <c r="CZ763" s="52"/>
      <c r="DA763" s="52"/>
      <c r="DB763" s="52"/>
    </row>
    <row r="764" spans="1:106" ht="12.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211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8"/>
      <c r="CV764" s="52"/>
      <c r="CW764" s="52"/>
      <c r="CX764" s="52"/>
      <c r="CY764" s="52"/>
      <c r="CZ764" s="52"/>
      <c r="DA764" s="52"/>
      <c r="DB764" s="52"/>
    </row>
    <row r="765" spans="1:106" ht="12.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211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2"/>
      <c r="CQ765" s="52"/>
      <c r="CR765" s="52"/>
      <c r="CS765" s="52"/>
      <c r="CT765" s="52"/>
      <c r="CU765" s="58"/>
      <c r="CV765" s="52"/>
      <c r="CW765" s="52"/>
      <c r="CX765" s="52"/>
      <c r="CY765" s="52"/>
      <c r="CZ765" s="52"/>
      <c r="DA765" s="52"/>
      <c r="DB765" s="52"/>
    </row>
    <row r="766" spans="1:106" ht="12.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211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  <c r="CS766" s="52"/>
      <c r="CT766" s="52"/>
      <c r="CU766" s="58"/>
      <c r="CV766" s="52"/>
      <c r="CW766" s="52"/>
      <c r="CX766" s="52"/>
      <c r="CY766" s="52"/>
      <c r="CZ766" s="52"/>
      <c r="DA766" s="52"/>
      <c r="DB766" s="52"/>
    </row>
    <row r="767" spans="1:106" ht="12.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211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52"/>
      <c r="CU767" s="58"/>
      <c r="CV767" s="52"/>
      <c r="CW767" s="52"/>
      <c r="CX767" s="52"/>
      <c r="CY767" s="52"/>
      <c r="CZ767" s="52"/>
      <c r="DA767" s="52"/>
      <c r="DB767" s="52"/>
    </row>
    <row r="768" spans="1:106" ht="12.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211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  <c r="CS768" s="52"/>
      <c r="CT768" s="52"/>
      <c r="CU768" s="58"/>
      <c r="CV768" s="52"/>
      <c r="CW768" s="52"/>
      <c r="CX768" s="52"/>
      <c r="CY768" s="52"/>
      <c r="CZ768" s="52"/>
      <c r="DA768" s="52"/>
      <c r="DB768" s="52"/>
    </row>
    <row r="769" spans="1:106" ht="12.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211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52"/>
      <c r="CU769" s="58"/>
      <c r="CV769" s="52"/>
      <c r="CW769" s="52"/>
      <c r="CX769" s="52"/>
      <c r="CY769" s="52"/>
      <c r="CZ769" s="52"/>
      <c r="DA769" s="52"/>
      <c r="DB769" s="52"/>
    </row>
    <row r="770" spans="1:106" ht="12.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211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52"/>
      <c r="CU770" s="58"/>
      <c r="CV770" s="52"/>
      <c r="CW770" s="52"/>
      <c r="CX770" s="52"/>
      <c r="CY770" s="52"/>
      <c r="CZ770" s="52"/>
      <c r="DA770" s="52"/>
      <c r="DB770" s="52"/>
    </row>
    <row r="771" spans="1:106" ht="12.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211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52"/>
      <c r="CU771" s="58"/>
      <c r="CV771" s="52"/>
      <c r="CW771" s="52"/>
      <c r="CX771" s="52"/>
      <c r="CY771" s="52"/>
      <c r="CZ771" s="52"/>
      <c r="DA771" s="52"/>
      <c r="DB771" s="52"/>
    </row>
    <row r="772" spans="1:106" ht="12.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211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52"/>
      <c r="CU772" s="58"/>
      <c r="CV772" s="52"/>
      <c r="CW772" s="52"/>
      <c r="CX772" s="52"/>
      <c r="CY772" s="52"/>
      <c r="CZ772" s="52"/>
      <c r="DA772" s="52"/>
      <c r="DB772" s="52"/>
    </row>
    <row r="773" spans="1:106" ht="12.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211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52"/>
      <c r="CU773" s="58"/>
      <c r="CV773" s="52"/>
      <c r="CW773" s="52"/>
      <c r="CX773" s="52"/>
      <c r="CY773" s="52"/>
      <c r="CZ773" s="52"/>
      <c r="DA773" s="52"/>
      <c r="DB773" s="52"/>
    </row>
    <row r="774" spans="1:106" ht="12.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211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52"/>
      <c r="CU774" s="58"/>
      <c r="CV774" s="52"/>
      <c r="CW774" s="52"/>
      <c r="CX774" s="52"/>
      <c r="CY774" s="52"/>
      <c r="CZ774" s="52"/>
      <c r="DA774" s="52"/>
      <c r="DB774" s="52"/>
    </row>
    <row r="775" spans="1:106" ht="12.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211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52"/>
      <c r="CU775" s="58"/>
      <c r="CV775" s="52"/>
      <c r="CW775" s="52"/>
      <c r="CX775" s="52"/>
      <c r="CY775" s="52"/>
      <c r="CZ775" s="52"/>
      <c r="DA775" s="52"/>
      <c r="DB775" s="52"/>
    </row>
    <row r="776" spans="1:106" ht="12.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211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52"/>
      <c r="CU776" s="58"/>
      <c r="CV776" s="52"/>
      <c r="CW776" s="52"/>
      <c r="CX776" s="52"/>
      <c r="CY776" s="52"/>
      <c r="CZ776" s="52"/>
      <c r="DA776" s="52"/>
      <c r="DB776" s="52"/>
    </row>
    <row r="777" spans="1:106" ht="12.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211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52"/>
      <c r="CU777" s="58"/>
      <c r="CV777" s="52"/>
      <c r="CW777" s="52"/>
      <c r="CX777" s="52"/>
      <c r="CY777" s="52"/>
      <c r="CZ777" s="52"/>
      <c r="DA777" s="52"/>
      <c r="DB777" s="52"/>
    </row>
    <row r="778" spans="1:106" ht="12.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211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52"/>
      <c r="CU778" s="58"/>
      <c r="CV778" s="52"/>
      <c r="CW778" s="52"/>
      <c r="CX778" s="52"/>
      <c r="CY778" s="52"/>
      <c r="CZ778" s="52"/>
      <c r="DA778" s="52"/>
      <c r="DB778" s="52"/>
    </row>
    <row r="779" spans="1:106" ht="12.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211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52"/>
      <c r="CU779" s="58"/>
      <c r="CV779" s="52"/>
      <c r="CW779" s="52"/>
      <c r="CX779" s="52"/>
      <c r="CY779" s="52"/>
      <c r="CZ779" s="52"/>
      <c r="DA779" s="52"/>
      <c r="DB779" s="52"/>
    </row>
    <row r="780" spans="1:106" ht="12.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211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2"/>
      <c r="CQ780" s="52"/>
      <c r="CR780" s="52"/>
      <c r="CS780" s="52"/>
      <c r="CT780" s="52"/>
      <c r="CU780" s="58"/>
      <c r="CV780" s="52"/>
      <c r="CW780" s="52"/>
      <c r="CX780" s="52"/>
      <c r="CY780" s="52"/>
      <c r="CZ780" s="52"/>
      <c r="DA780" s="52"/>
      <c r="DB780" s="52"/>
    </row>
    <row r="781" spans="1:106" ht="12.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211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2"/>
      <c r="CQ781" s="52"/>
      <c r="CR781" s="52"/>
      <c r="CS781" s="52"/>
      <c r="CT781" s="52"/>
      <c r="CU781" s="58"/>
      <c r="CV781" s="52"/>
      <c r="CW781" s="52"/>
      <c r="CX781" s="52"/>
      <c r="CY781" s="52"/>
      <c r="CZ781" s="52"/>
      <c r="DA781" s="52"/>
      <c r="DB781" s="52"/>
    </row>
    <row r="782" spans="1:106" ht="12.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211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  <c r="CS782" s="52"/>
      <c r="CT782" s="52"/>
      <c r="CU782" s="58"/>
      <c r="CV782" s="52"/>
      <c r="CW782" s="52"/>
      <c r="CX782" s="52"/>
      <c r="CY782" s="52"/>
      <c r="CZ782" s="52"/>
      <c r="DA782" s="52"/>
      <c r="DB782" s="52"/>
    </row>
    <row r="783" spans="1:106" ht="12.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211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2"/>
      <c r="CQ783" s="52"/>
      <c r="CR783" s="52"/>
      <c r="CS783" s="52"/>
      <c r="CT783" s="52"/>
      <c r="CU783" s="58"/>
      <c r="CV783" s="52"/>
      <c r="CW783" s="52"/>
      <c r="CX783" s="52"/>
      <c r="CY783" s="52"/>
      <c r="CZ783" s="52"/>
      <c r="DA783" s="52"/>
      <c r="DB783" s="52"/>
    </row>
    <row r="784" spans="1:106" ht="12.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211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2"/>
      <c r="CQ784" s="52"/>
      <c r="CR784" s="52"/>
      <c r="CS784" s="52"/>
      <c r="CT784" s="52"/>
      <c r="CU784" s="58"/>
      <c r="CV784" s="52"/>
      <c r="CW784" s="52"/>
      <c r="CX784" s="52"/>
      <c r="CY784" s="52"/>
      <c r="CZ784" s="52"/>
      <c r="DA784" s="52"/>
      <c r="DB784" s="52"/>
    </row>
    <row r="785" spans="1:106" ht="12.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211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  <c r="CS785" s="52"/>
      <c r="CT785" s="52"/>
      <c r="CU785" s="58"/>
      <c r="CV785" s="52"/>
      <c r="CW785" s="52"/>
      <c r="CX785" s="52"/>
      <c r="CY785" s="52"/>
      <c r="CZ785" s="52"/>
      <c r="DA785" s="52"/>
      <c r="DB785" s="52"/>
    </row>
    <row r="786" spans="1:106" ht="12.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211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2"/>
      <c r="CQ786" s="52"/>
      <c r="CR786" s="52"/>
      <c r="CS786" s="52"/>
      <c r="CT786" s="52"/>
      <c r="CU786" s="58"/>
      <c r="CV786" s="52"/>
      <c r="CW786" s="52"/>
      <c r="CX786" s="52"/>
      <c r="CY786" s="52"/>
      <c r="CZ786" s="52"/>
      <c r="DA786" s="52"/>
      <c r="DB786" s="52"/>
    </row>
    <row r="787" spans="1:106" ht="12.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211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2"/>
      <c r="CQ787" s="52"/>
      <c r="CR787" s="52"/>
      <c r="CS787" s="52"/>
      <c r="CT787" s="52"/>
      <c r="CU787" s="58"/>
      <c r="CV787" s="52"/>
      <c r="CW787" s="52"/>
      <c r="CX787" s="52"/>
      <c r="CY787" s="52"/>
      <c r="CZ787" s="52"/>
      <c r="DA787" s="52"/>
      <c r="DB787" s="52"/>
    </row>
    <row r="788" spans="1:106" ht="12.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211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  <c r="CS788" s="52"/>
      <c r="CT788" s="52"/>
      <c r="CU788" s="58"/>
      <c r="CV788" s="52"/>
      <c r="CW788" s="52"/>
      <c r="CX788" s="52"/>
      <c r="CY788" s="52"/>
      <c r="CZ788" s="52"/>
      <c r="DA788" s="52"/>
      <c r="DB788" s="52"/>
    </row>
    <row r="789" spans="1:106" ht="12.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211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2"/>
      <c r="CQ789" s="52"/>
      <c r="CR789" s="52"/>
      <c r="CS789" s="52"/>
      <c r="CT789" s="52"/>
      <c r="CU789" s="58"/>
      <c r="CV789" s="52"/>
      <c r="CW789" s="52"/>
      <c r="CX789" s="52"/>
      <c r="CY789" s="52"/>
      <c r="CZ789" s="52"/>
      <c r="DA789" s="52"/>
      <c r="DB789" s="52"/>
    </row>
    <row r="790" spans="1:106" ht="12.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211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2"/>
      <c r="CQ790" s="52"/>
      <c r="CR790" s="52"/>
      <c r="CS790" s="52"/>
      <c r="CT790" s="52"/>
      <c r="CU790" s="58"/>
      <c r="CV790" s="52"/>
      <c r="CW790" s="52"/>
      <c r="CX790" s="52"/>
      <c r="CY790" s="52"/>
      <c r="CZ790" s="52"/>
      <c r="DA790" s="52"/>
      <c r="DB790" s="52"/>
    </row>
    <row r="791" spans="1:106" ht="12.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211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  <c r="CS791" s="52"/>
      <c r="CT791" s="52"/>
      <c r="CU791" s="58"/>
      <c r="CV791" s="52"/>
      <c r="CW791" s="52"/>
      <c r="CX791" s="52"/>
      <c r="CY791" s="52"/>
      <c r="CZ791" s="52"/>
      <c r="DA791" s="52"/>
      <c r="DB791" s="52"/>
    </row>
    <row r="792" spans="1:106" ht="12.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211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2"/>
      <c r="CQ792" s="52"/>
      <c r="CR792" s="52"/>
      <c r="CS792" s="52"/>
      <c r="CT792" s="52"/>
      <c r="CU792" s="58"/>
      <c r="CV792" s="52"/>
      <c r="CW792" s="52"/>
      <c r="CX792" s="52"/>
      <c r="CY792" s="52"/>
      <c r="CZ792" s="52"/>
      <c r="DA792" s="52"/>
      <c r="DB792" s="52"/>
    </row>
    <row r="793" spans="1:106" ht="12.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211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2"/>
      <c r="CQ793" s="52"/>
      <c r="CR793" s="52"/>
      <c r="CS793" s="52"/>
      <c r="CT793" s="52"/>
      <c r="CU793" s="58"/>
      <c r="CV793" s="52"/>
      <c r="CW793" s="52"/>
      <c r="CX793" s="52"/>
      <c r="CY793" s="52"/>
      <c r="CZ793" s="52"/>
      <c r="DA793" s="52"/>
      <c r="DB793" s="52"/>
    </row>
    <row r="794" spans="1:106" ht="12.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211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  <c r="CS794" s="52"/>
      <c r="CT794" s="52"/>
      <c r="CU794" s="58"/>
      <c r="CV794" s="52"/>
      <c r="CW794" s="52"/>
      <c r="CX794" s="52"/>
      <c r="CY794" s="52"/>
      <c r="CZ794" s="52"/>
      <c r="DA794" s="52"/>
      <c r="DB794" s="52"/>
    </row>
    <row r="795" spans="1:106" ht="12.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211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2"/>
      <c r="CQ795" s="52"/>
      <c r="CR795" s="52"/>
      <c r="CS795" s="52"/>
      <c r="CT795" s="52"/>
      <c r="CU795" s="58"/>
      <c r="CV795" s="52"/>
      <c r="CW795" s="52"/>
      <c r="CX795" s="52"/>
      <c r="CY795" s="52"/>
      <c r="CZ795" s="52"/>
      <c r="DA795" s="52"/>
      <c r="DB795" s="52"/>
    </row>
    <row r="796" spans="1:106" ht="12.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211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2"/>
      <c r="CQ796" s="52"/>
      <c r="CR796" s="52"/>
      <c r="CS796" s="52"/>
      <c r="CT796" s="52"/>
      <c r="CU796" s="58"/>
      <c r="CV796" s="52"/>
      <c r="CW796" s="52"/>
      <c r="CX796" s="52"/>
      <c r="CY796" s="52"/>
      <c r="CZ796" s="52"/>
      <c r="DA796" s="52"/>
      <c r="DB796" s="52"/>
    </row>
    <row r="797" spans="1:106" ht="12.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211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  <c r="CS797" s="52"/>
      <c r="CT797" s="52"/>
      <c r="CU797" s="58"/>
      <c r="CV797" s="52"/>
      <c r="CW797" s="52"/>
      <c r="CX797" s="52"/>
      <c r="CY797" s="52"/>
      <c r="CZ797" s="52"/>
      <c r="DA797" s="52"/>
      <c r="DB797" s="52"/>
    </row>
    <row r="798" spans="1:106" ht="12.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211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2"/>
      <c r="CQ798" s="52"/>
      <c r="CR798" s="52"/>
      <c r="CS798" s="52"/>
      <c r="CT798" s="52"/>
      <c r="CU798" s="58"/>
      <c r="CV798" s="52"/>
      <c r="CW798" s="52"/>
      <c r="CX798" s="52"/>
      <c r="CY798" s="52"/>
      <c r="CZ798" s="52"/>
      <c r="DA798" s="52"/>
      <c r="DB798" s="52"/>
    </row>
    <row r="799" spans="1:106" ht="12.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211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2"/>
      <c r="CQ799" s="52"/>
      <c r="CR799" s="52"/>
      <c r="CS799" s="52"/>
      <c r="CT799" s="52"/>
      <c r="CU799" s="58"/>
      <c r="CV799" s="52"/>
      <c r="CW799" s="52"/>
      <c r="CX799" s="52"/>
      <c r="CY799" s="52"/>
      <c r="CZ799" s="52"/>
      <c r="DA799" s="52"/>
      <c r="DB799" s="52"/>
    </row>
    <row r="800" spans="1:106" ht="12.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211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  <c r="CS800" s="52"/>
      <c r="CT800" s="52"/>
      <c r="CU800" s="58"/>
      <c r="CV800" s="52"/>
      <c r="CW800" s="52"/>
      <c r="CX800" s="52"/>
      <c r="CY800" s="52"/>
      <c r="CZ800" s="52"/>
      <c r="DA800" s="52"/>
      <c r="DB800" s="52"/>
    </row>
    <row r="801" spans="1:106" ht="12.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211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2"/>
      <c r="CQ801" s="52"/>
      <c r="CR801" s="52"/>
      <c r="CS801" s="52"/>
      <c r="CT801" s="52"/>
      <c r="CU801" s="58"/>
      <c r="CV801" s="52"/>
      <c r="CW801" s="52"/>
      <c r="CX801" s="52"/>
      <c r="CY801" s="52"/>
      <c r="CZ801" s="52"/>
      <c r="DA801" s="52"/>
      <c r="DB801" s="52"/>
    </row>
    <row r="802" spans="1:106" ht="12.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211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2"/>
      <c r="CQ802" s="52"/>
      <c r="CR802" s="52"/>
      <c r="CS802" s="52"/>
      <c r="CT802" s="52"/>
      <c r="CU802" s="58"/>
      <c r="CV802" s="52"/>
      <c r="CW802" s="52"/>
      <c r="CX802" s="52"/>
      <c r="CY802" s="52"/>
      <c r="CZ802" s="52"/>
      <c r="DA802" s="52"/>
      <c r="DB802" s="52"/>
    </row>
    <row r="803" spans="1:106" ht="12.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211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  <c r="CS803" s="52"/>
      <c r="CT803" s="52"/>
      <c r="CU803" s="58"/>
      <c r="CV803" s="52"/>
      <c r="CW803" s="52"/>
      <c r="CX803" s="52"/>
      <c r="CY803" s="52"/>
      <c r="CZ803" s="52"/>
      <c r="DA803" s="52"/>
      <c r="DB803" s="52"/>
    </row>
    <row r="804" spans="1:106" ht="12.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211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2"/>
      <c r="CQ804" s="52"/>
      <c r="CR804" s="52"/>
      <c r="CS804" s="52"/>
      <c r="CT804" s="52"/>
      <c r="CU804" s="58"/>
      <c r="CV804" s="52"/>
      <c r="CW804" s="52"/>
      <c r="CX804" s="52"/>
      <c r="CY804" s="52"/>
      <c r="CZ804" s="52"/>
      <c r="DA804" s="52"/>
      <c r="DB804" s="52"/>
    </row>
    <row r="805" spans="1:106" ht="12.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211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2"/>
      <c r="CQ805" s="52"/>
      <c r="CR805" s="52"/>
      <c r="CS805" s="52"/>
      <c r="CT805" s="52"/>
      <c r="CU805" s="58"/>
      <c r="CV805" s="52"/>
      <c r="CW805" s="52"/>
      <c r="CX805" s="52"/>
      <c r="CY805" s="52"/>
      <c r="CZ805" s="52"/>
      <c r="DA805" s="52"/>
      <c r="DB805" s="52"/>
    </row>
    <row r="806" spans="1:106" ht="12.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211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  <c r="CS806" s="52"/>
      <c r="CT806" s="52"/>
      <c r="CU806" s="58"/>
      <c r="CV806" s="52"/>
      <c r="CW806" s="52"/>
      <c r="CX806" s="52"/>
      <c r="CY806" s="52"/>
      <c r="CZ806" s="52"/>
      <c r="DA806" s="52"/>
      <c r="DB806" s="52"/>
    </row>
    <row r="807" spans="1:106" ht="12.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211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52"/>
      <c r="CU807" s="58"/>
      <c r="CV807" s="52"/>
      <c r="CW807" s="52"/>
      <c r="CX807" s="52"/>
      <c r="CY807" s="52"/>
      <c r="CZ807" s="52"/>
      <c r="DA807" s="52"/>
      <c r="DB807" s="52"/>
    </row>
    <row r="808" spans="1:106" ht="12.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211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2"/>
      <c r="CQ808" s="52"/>
      <c r="CR808" s="52"/>
      <c r="CS808" s="52"/>
      <c r="CT808" s="52"/>
      <c r="CU808" s="58"/>
      <c r="CV808" s="52"/>
      <c r="CW808" s="52"/>
      <c r="CX808" s="52"/>
      <c r="CY808" s="52"/>
      <c r="CZ808" s="52"/>
      <c r="DA808" s="52"/>
      <c r="DB808" s="52"/>
    </row>
    <row r="809" spans="1:106" ht="12.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211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52"/>
      <c r="CU809" s="58"/>
      <c r="CV809" s="52"/>
      <c r="CW809" s="52"/>
      <c r="CX809" s="52"/>
      <c r="CY809" s="52"/>
      <c r="CZ809" s="52"/>
      <c r="DA809" s="52"/>
      <c r="DB809" s="52"/>
    </row>
    <row r="810" spans="1:106" ht="12.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211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52"/>
      <c r="CU810" s="58"/>
      <c r="CV810" s="52"/>
      <c r="CW810" s="52"/>
      <c r="CX810" s="52"/>
      <c r="CY810" s="52"/>
      <c r="CZ810" s="52"/>
      <c r="DA810" s="52"/>
      <c r="DB810" s="52"/>
    </row>
    <row r="811" spans="1:106" ht="12.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211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52"/>
      <c r="CU811" s="58"/>
      <c r="CV811" s="52"/>
      <c r="CW811" s="52"/>
      <c r="CX811" s="52"/>
      <c r="CY811" s="52"/>
      <c r="CZ811" s="52"/>
      <c r="DA811" s="52"/>
      <c r="DB811" s="52"/>
    </row>
    <row r="812" spans="1:106" ht="12.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211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52"/>
      <c r="CU812" s="58"/>
      <c r="CV812" s="52"/>
      <c r="CW812" s="52"/>
      <c r="CX812" s="52"/>
      <c r="CY812" s="52"/>
      <c r="CZ812" s="52"/>
      <c r="DA812" s="52"/>
      <c r="DB812" s="52"/>
    </row>
    <row r="813" spans="1:106" ht="12.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211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52"/>
      <c r="CU813" s="58"/>
      <c r="CV813" s="52"/>
      <c r="CW813" s="52"/>
      <c r="CX813" s="52"/>
      <c r="CY813" s="52"/>
      <c r="CZ813" s="52"/>
      <c r="DA813" s="52"/>
      <c r="DB813" s="52"/>
    </row>
    <row r="814" spans="1:106" ht="12.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211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52"/>
      <c r="CU814" s="58"/>
      <c r="CV814" s="52"/>
      <c r="CW814" s="52"/>
      <c r="CX814" s="52"/>
      <c r="CY814" s="52"/>
      <c r="CZ814" s="52"/>
      <c r="DA814" s="52"/>
      <c r="DB814" s="52"/>
    </row>
    <row r="815" spans="1:106" ht="12.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211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52"/>
      <c r="CU815" s="58"/>
      <c r="CV815" s="52"/>
      <c r="CW815" s="52"/>
      <c r="CX815" s="52"/>
      <c r="CY815" s="52"/>
      <c r="CZ815" s="52"/>
      <c r="DA815" s="52"/>
      <c r="DB815" s="52"/>
    </row>
    <row r="816" spans="1:106" ht="12.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211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52"/>
      <c r="CU816" s="58"/>
      <c r="CV816" s="52"/>
      <c r="CW816" s="52"/>
      <c r="CX816" s="52"/>
      <c r="CY816" s="52"/>
      <c r="CZ816" s="52"/>
      <c r="DA816" s="52"/>
      <c r="DB816" s="52"/>
    </row>
    <row r="817" spans="1:106" ht="12.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211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52"/>
      <c r="CU817" s="58"/>
      <c r="CV817" s="52"/>
      <c r="CW817" s="52"/>
      <c r="CX817" s="52"/>
      <c r="CY817" s="52"/>
      <c r="CZ817" s="52"/>
      <c r="DA817" s="52"/>
      <c r="DB817" s="52"/>
    </row>
    <row r="818" spans="1:106" ht="12.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211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52"/>
      <c r="CU818" s="58"/>
      <c r="CV818" s="52"/>
      <c r="CW818" s="52"/>
      <c r="CX818" s="52"/>
      <c r="CY818" s="52"/>
      <c r="CZ818" s="52"/>
      <c r="DA818" s="52"/>
      <c r="DB818" s="52"/>
    </row>
    <row r="819" spans="1:106" ht="12.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211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52"/>
      <c r="CU819" s="58"/>
      <c r="CV819" s="52"/>
      <c r="CW819" s="52"/>
      <c r="CX819" s="52"/>
      <c r="CY819" s="52"/>
      <c r="CZ819" s="52"/>
      <c r="DA819" s="52"/>
      <c r="DB819" s="52"/>
    </row>
    <row r="820" spans="1:106" ht="12.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211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2"/>
      <c r="CQ820" s="52"/>
      <c r="CR820" s="52"/>
      <c r="CS820" s="52"/>
      <c r="CT820" s="52"/>
      <c r="CU820" s="58"/>
      <c r="CV820" s="52"/>
      <c r="CW820" s="52"/>
      <c r="CX820" s="52"/>
      <c r="CY820" s="52"/>
      <c r="CZ820" s="52"/>
      <c r="DA820" s="52"/>
      <c r="DB820" s="52"/>
    </row>
    <row r="821" spans="1:106" ht="12.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211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  <c r="CS821" s="52"/>
      <c r="CT821" s="52"/>
      <c r="CU821" s="58"/>
      <c r="CV821" s="52"/>
      <c r="CW821" s="52"/>
      <c r="CX821" s="52"/>
      <c r="CY821" s="52"/>
      <c r="CZ821" s="52"/>
      <c r="DA821" s="52"/>
      <c r="DB821" s="52"/>
    </row>
    <row r="822" spans="1:106" ht="12.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211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2"/>
      <c r="CQ822" s="52"/>
      <c r="CR822" s="52"/>
      <c r="CS822" s="52"/>
      <c r="CT822" s="52"/>
      <c r="CU822" s="58"/>
      <c r="CV822" s="52"/>
      <c r="CW822" s="52"/>
      <c r="CX822" s="52"/>
      <c r="CY822" s="52"/>
      <c r="CZ822" s="52"/>
      <c r="DA822" s="52"/>
      <c r="DB822" s="52"/>
    </row>
    <row r="823" spans="1:106" ht="12.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211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2"/>
      <c r="CQ823" s="52"/>
      <c r="CR823" s="52"/>
      <c r="CS823" s="52"/>
      <c r="CT823" s="52"/>
      <c r="CU823" s="58"/>
      <c r="CV823" s="52"/>
      <c r="CW823" s="52"/>
      <c r="CX823" s="52"/>
      <c r="CY823" s="52"/>
      <c r="CZ823" s="52"/>
      <c r="DA823" s="52"/>
      <c r="DB823" s="52"/>
    </row>
    <row r="824" spans="1:106" ht="12.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211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  <c r="CS824" s="52"/>
      <c r="CT824" s="52"/>
      <c r="CU824" s="58"/>
      <c r="CV824" s="52"/>
      <c r="CW824" s="52"/>
      <c r="CX824" s="52"/>
      <c r="CY824" s="52"/>
      <c r="CZ824" s="52"/>
      <c r="DA824" s="52"/>
      <c r="DB824" s="52"/>
    </row>
    <row r="825" spans="1:106" ht="12.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211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2"/>
      <c r="CQ825" s="52"/>
      <c r="CR825" s="52"/>
      <c r="CS825" s="52"/>
      <c r="CT825" s="52"/>
      <c r="CU825" s="58"/>
      <c r="CV825" s="52"/>
      <c r="CW825" s="52"/>
      <c r="CX825" s="52"/>
      <c r="CY825" s="52"/>
      <c r="CZ825" s="52"/>
      <c r="DA825" s="52"/>
      <c r="DB825" s="52"/>
    </row>
    <row r="826" spans="1:106" ht="12.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211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2"/>
      <c r="CQ826" s="52"/>
      <c r="CR826" s="52"/>
      <c r="CS826" s="52"/>
      <c r="CT826" s="52"/>
      <c r="CU826" s="58"/>
      <c r="CV826" s="52"/>
      <c r="CW826" s="52"/>
      <c r="CX826" s="52"/>
      <c r="CY826" s="52"/>
      <c r="CZ826" s="52"/>
      <c r="DA826" s="52"/>
      <c r="DB826" s="52"/>
    </row>
    <row r="827" spans="1:106" ht="12.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211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  <c r="CS827" s="52"/>
      <c r="CT827" s="52"/>
      <c r="CU827" s="58"/>
      <c r="CV827" s="52"/>
      <c r="CW827" s="52"/>
      <c r="CX827" s="52"/>
      <c r="CY827" s="52"/>
      <c r="CZ827" s="52"/>
      <c r="DA827" s="52"/>
      <c r="DB827" s="52"/>
    </row>
    <row r="828" spans="1:106" ht="12.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211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2"/>
      <c r="CQ828" s="52"/>
      <c r="CR828" s="52"/>
      <c r="CS828" s="52"/>
      <c r="CT828" s="52"/>
      <c r="CU828" s="58"/>
      <c r="CV828" s="52"/>
      <c r="CW828" s="52"/>
      <c r="CX828" s="52"/>
      <c r="CY828" s="52"/>
      <c r="CZ828" s="52"/>
      <c r="DA828" s="52"/>
      <c r="DB828" s="52"/>
    </row>
    <row r="829" spans="1:106" ht="12.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211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2"/>
      <c r="CQ829" s="52"/>
      <c r="CR829" s="52"/>
      <c r="CS829" s="52"/>
      <c r="CT829" s="52"/>
      <c r="CU829" s="58"/>
      <c r="CV829" s="52"/>
      <c r="CW829" s="52"/>
      <c r="CX829" s="52"/>
      <c r="CY829" s="52"/>
      <c r="CZ829" s="52"/>
      <c r="DA829" s="52"/>
      <c r="DB829" s="52"/>
    </row>
    <row r="830" spans="1:106" ht="12.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211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  <c r="CS830" s="52"/>
      <c r="CT830" s="52"/>
      <c r="CU830" s="58"/>
      <c r="CV830" s="52"/>
      <c r="CW830" s="52"/>
      <c r="CX830" s="52"/>
      <c r="CY830" s="52"/>
      <c r="CZ830" s="52"/>
      <c r="DA830" s="52"/>
      <c r="DB830" s="52"/>
    </row>
    <row r="831" spans="1:106" ht="12.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211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2"/>
      <c r="CQ831" s="52"/>
      <c r="CR831" s="52"/>
      <c r="CS831" s="52"/>
      <c r="CT831" s="52"/>
      <c r="CU831" s="58"/>
      <c r="CV831" s="52"/>
      <c r="CW831" s="52"/>
      <c r="CX831" s="52"/>
      <c r="CY831" s="52"/>
      <c r="CZ831" s="52"/>
      <c r="DA831" s="52"/>
      <c r="DB831" s="52"/>
    </row>
    <row r="832" spans="1:106" ht="12.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211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2"/>
      <c r="CQ832" s="52"/>
      <c r="CR832" s="52"/>
      <c r="CS832" s="52"/>
      <c r="CT832" s="52"/>
      <c r="CU832" s="58"/>
      <c r="CV832" s="52"/>
      <c r="CW832" s="52"/>
      <c r="CX832" s="52"/>
      <c r="CY832" s="52"/>
      <c r="CZ832" s="52"/>
      <c r="DA832" s="52"/>
      <c r="DB832" s="52"/>
    </row>
    <row r="833" spans="1:106" ht="12.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211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  <c r="CS833" s="52"/>
      <c r="CT833" s="52"/>
      <c r="CU833" s="58"/>
      <c r="CV833" s="52"/>
      <c r="CW833" s="52"/>
      <c r="CX833" s="52"/>
      <c r="CY833" s="52"/>
      <c r="CZ833" s="52"/>
      <c r="DA833" s="52"/>
      <c r="DB833" s="52"/>
    </row>
    <row r="834" spans="1:106" ht="12.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211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2"/>
      <c r="CQ834" s="52"/>
      <c r="CR834" s="52"/>
      <c r="CS834" s="52"/>
      <c r="CT834" s="52"/>
      <c r="CU834" s="58"/>
      <c r="CV834" s="52"/>
      <c r="CW834" s="52"/>
      <c r="CX834" s="52"/>
      <c r="CY834" s="52"/>
      <c r="CZ834" s="52"/>
      <c r="DA834" s="52"/>
      <c r="DB834" s="52"/>
    </row>
    <row r="835" spans="1:106" ht="12.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211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2"/>
      <c r="CQ835" s="52"/>
      <c r="CR835" s="52"/>
      <c r="CS835" s="52"/>
      <c r="CT835" s="52"/>
      <c r="CU835" s="58"/>
      <c r="CV835" s="52"/>
      <c r="CW835" s="52"/>
      <c r="CX835" s="52"/>
      <c r="CY835" s="52"/>
      <c r="CZ835" s="52"/>
      <c r="DA835" s="52"/>
      <c r="DB835" s="52"/>
    </row>
    <row r="836" spans="1:106" ht="12.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211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  <c r="CS836" s="52"/>
      <c r="CT836" s="52"/>
      <c r="CU836" s="58"/>
      <c r="CV836" s="52"/>
      <c r="CW836" s="52"/>
      <c r="CX836" s="52"/>
      <c r="CY836" s="52"/>
      <c r="CZ836" s="52"/>
      <c r="DA836" s="52"/>
      <c r="DB836" s="52"/>
    </row>
    <row r="837" spans="1:106" ht="12.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211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2"/>
      <c r="CQ837" s="52"/>
      <c r="CR837" s="52"/>
      <c r="CS837" s="52"/>
      <c r="CT837" s="52"/>
      <c r="CU837" s="58"/>
      <c r="CV837" s="52"/>
      <c r="CW837" s="52"/>
      <c r="CX837" s="52"/>
      <c r="CY837" s="52"/>
      <c r="CZ837" s="52"/>
      <c r="DA837" s="52"/>
      <c r="DB837" s="52"/>
    </row>
    <row r="838" spans="1:106" ht="12.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211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2"/>
      <c r="CQ838" s="52"/>
      <c r="CR838" s="52"/>
      <c r="CS838" s="52"/>
      <c r="CT838" s="52"/>
      <c r="CU838" s="58"/>
      <c r="CV838" s="52"/>
      <c r="CW838" s="52"/>
      <c r="CX838" s="52"/>
      <c r="CY838" s="52"/>
      <c r="CZ838" s="52"/>
      <c r="DA838" s="52"/>
      <c r="DB838" s="52"/>
    </row>
    <row r="839" spans="1:106" ht="12.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211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  <c r="CS839" s="52"/>
      <c r="CT839" s="52"/>
      <c r="CU839" s="58"/>
      <c r="CV839" s="52"/>
      <c r="CW839" s="52"/>
      <c r="CX839" s="52"/>
      <c r="CY839" s="52"/>
      <c r="CZ839" s="52"/>
      <c r="DA839" s="52"/>
      <c r="DB839" s="52"/>
    </row>
    <row r="840" spans="1:106" ht="12.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211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2"/>
      <c r="CQ840" s="52"/>
      <c r="CR840" s="52"/>
      <c r="CS840" s="52"/>
      <c r="CT840" s="52"/>
      <c r="CU840" s="58"/>
      <c r="CV840" s="52"/>
      <c r="CW840" s="52"/>
      <c r="CX840" s="52"/>
      <c r="CY840" s="52"/>
      <c r="CZ840" s="52"/>
      <c r="DA840" s="52"/>
      <c r="DB840" s="52"/>
    </row>
    <row r="841" spans="1:106" ht="12.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211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2"/>
      <c r="CQ841" s="52"/>
      <c r="CR841" s="52"/>
      <c r="CS841" s="52"/>
      <c r="CT841" s="52"/>
      <c r="CU841" s="58"/>
      <c r="CV841" s="52"/>
      <c r="CW841" s="52"/>
      <c r="CX841" s="52"/>
      <c r="CY841" s="52"/>
      <c r="CZ841" s="52"/>
      <c r="DA841" s="52"/>
      <c r="DB841" s="52"/>
    </row>
    <row r="842" spans="1:106" ht="12.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211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  <c r="CS842" s="52"/>
      <c r="CT842" s="52"/>
      <c r="CU842" s="58"/>
      <c r="CV842" s="52"/>
      <c r="CW842" s="52"/>
      <c r="CX842" s="52"/>
      <c r="CY842" s="52"/>
      <c r="CZ842" s="52"/>
      <c r="DA842" s="52"/>
      <c r="DB842" s="52"/>
    </row>
    <row r="843" spans="1:106" ht="12.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211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2"/>
      <c r="CQ843" s="52"/>
      <c r="CR843" s="52"/>
      <c r="CS843" s="52"/>
      <c r="CT843" s="52"/>
      <c r="CU843" s="58"/>
      <c r="CV843" s="52"/>
      <c r="CW843" s="52"/>
      <c r="CX843" s="52"/>
      <c r="CY843" s="52"/>
      <c r="CZ843" s="52"/>
      <c r="DA843" s="52"/>
      <c r="DB843" s="52"/>
    </row>
    <row r="844" spans="1:106" ht="12.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211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2"/>
      <c r="CQ844" s="52"/>
      <c r="CR844" s="52"/>
      <c r="CS844" s="52"/>
      <c r="CT844" s="52"/>
      <c r="CU844" s="58"/>
      <c r="CV844" s="52"/>
      <c r="CW844" s="52"/>
      <c r="CX844" s="52"/>
      <c r="CY844" s="52"/>
      <c r="CZ844" s="52"/>
      <c r="DA844" s="52"/>
      <c r="DB844" s="52"/>
    </row>
    <row r="845" spans="1:106" ht="12.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211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  <c r="CS845" s="52"/>
      <c r="CT845" s="52"/>
      <c r="CU845" s="58"/>
      <c r="CV845" s="52"/>
      <c r="CW845" s="52"/>
      <c r="CX845" s="52"/>
      <c r="CY845" s="52"/>
      <c r="CZ845" s="52"/>
      <c r="DA845" s="52"/>
      <c r="DB845" s="52"/>
    </row>
    <row r="846" spans="1:106" ht="12.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211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2"/>
      <c r="CQ846" s="52"/>
      <c r="CR846" s="52"/>
      <c r="CS846" s="52"/>
      <c r="CT846" s="52"/>
      <c r="CU846" s="58"/>
      <c r="CV846" s="52"/>
      <c r="CW846" s="52"/>
      <c r="CX846" s="52"/>
      <c r="CY846" s="52"/>
      <c r="CZ846" s="52"/>
      <c r="DA846" s="52"/>
      <c r="DB846" s="52"/>
    </row>
    <row r="847" spans="1:106" ht="12.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211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52"/>
      <c r="CU847" s="58"/>
      <c r="CV847" s="52"/>
      <c r="CW847" s="52"/>
      <c r="CX847" s="52"/>
      <c r="CY847" s="52"/>
      <c r="CZ847" s="52"/>
      <c r="DA847" s="52"/>
      <c r="DB847" s="52"/>
    </row>
    <row r="848" spans="1:106" ht="12.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211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  <c r="CS848" s="52"/>
      <c r="CT848" s="52"/>
      <c r="CU848" s="58"/>
      <c r="CV848" s="52"/>
      <c r="CW848" s="52"/>
      <c r="CX848" s="52"/>
      <c r="CY848" s="52"/>
      <c r="CZ848" s="52"/>
      <c r="DA848" s="52"/>
      <c r="DB848" s="52"/>
    </row>
    <row r="849" spans="1:106" ht="12.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211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52"/>
      <c r="CU849" s="58"/>
      <c r="CV849" s="52"/>
      <c r="CW849" s="52"/>
      <c r="CX849" s="52"/>
      <c r="CY849" s="52"/>
      <c r="CZ849" s="52"/>
      <c r="DA849" s="52"/>
      <c r="DB849" s="52"/>
    </row>
    <row r="850" spans="1:106" ht="12.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211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52"/>
      <c r="CU850" s="58"/>
      <c r="CV850" s="52"/>
      <c r="CW850" s="52"/>
      <c r="CX850" s="52"/>
      <c r="CY850" s="52"/>
      <c r="CZ850" s="52"/>
      <c r="DA850" s="52"/>
      <c r="DB850" s="52"/>
    </row>
    <row r="851" spans="1:106" ht="12.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211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52"/>
      <c r="CU851" s="58"/>
      <c r="CV851" s="52"/>
      <c r="CW851" s="52"/>
      <c r="CX851" s="52"/>
      <c r="CY851" s="52"/>
      <c r="CZ851" s="52"/>
      <c r="DA851" s="52"/>
      <c r="DB851" s="52"/>
    </row>
    <row r="852" spans="1:106" ht="12.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211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52"/>
      <c r="CU852" s="58"/>
      <c r="CV852" s="52"/>
      <c r="CW852" s="52"/>
      <c r="CX852" s="52"/>
      <c r="CY852" s="52"/>
      <c r="CZ852" s="52"/>
      <c r="DA852" s="52"/>
      <c r="DB852" s="52"/>
    </row>
    <row r="853" spans="1:106" ht="12.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211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52"/>
      <c r="CU853" s="58"/>
      <c r="CV853" s="52"/>
      <c r="CW853" s="52"/>
      <c r="CX853" s="52"/>
      <c r="CY853" s="52"/>
      <c r="CZ853" s="52"/>
      <c r="DA853" s="52"/>
      <c r="DB853" s="52"/>
    </row>
    <row r="854" spans="1:106" ht="12.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211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52"/>
      <c r="CU854" s="58"/>
      <c r="CV854" s="52"/>
      <c r="CW854" s="52"/>
      <c r="CX854" s="52"/>
      <c r="CY854" s="52"/>
      <c r="CZ854" s="52"/>
      <c r="DA854" s="52"/>
      <c r="DB854" s="52"/>
    </row>
    <row r="855" spans="1:106" ht="12.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211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52"/>
      <c r="CU855" s="58"/>
      <c r="CV855" s="52"/>
      <c r="CW855" s="52"/>
      <c r="CX855" s="52"/>
      <c r="CY855" s="52"/>
      <c r="CZ855" s="52"/>
      <c r="DA855" s="52"/>
      <c r="DB855" s="52"/>
    </row>
    <row r="856" spans="1:106" ht="12.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211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52"/>
      <c r="CU856" s="58"/>
      <c r="CV856" s="52"/>
      <c r="CW856" s="52"/>
      <c r="CX856" s="52"/>
      <c r="CY856" s="52"/>
      <c r="CZ856" s="52"/>
      <c r="DA856" s="52"/>
      <c r="DB856" s="52"/>
    </row>
    <row r="857" spans="1:106" ht="12.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211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52"/>
      <c r="CU857" s="58"/>
      <c r="CV857" s="52"/>
      <c r="CW857" s="52"/>
      <c r="CX857" s="52"/>
      <c r="CY857" s="52"/>
      <c r="CZ857" s="52"/>
      <c r="DA857" s="52"/>
      <c r="DB857" s="52"/>
    </row>
    <row r="858" spans="1:106" ht="12.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211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52"/>
      <c r="CU858" s="58"/>
      <c r="CV858" s="52"/>
      <c r="CW858" s="52"/>
      <c r="CX858" s="52"/>
      <c r="CY858" s="52"/>
      <c r="CZ858" s="52"/>
      <c r="DA858" s="52"/>
      <c r="DB858" s="52"/>
    </row>
    <row r="859" spans="1:106" ht="12.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211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52"/>
      <c r="CU859" s="58"/>
      <c r="CV859" s="52"/>
      <c r="CW859" s="52"/>
      <c r="CX859" s="52"/>
      <c r="CY859" s="52"/>
      <c r="CZ859" s="52"/>
      <c r="DA859" s="52"/>
      <c r="DB859" s="52"/>
    </row>
    <row r="860" spans="1:106" ht="12.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211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  <c r="CS860" s="52"/>
      <c r="CT860" s="52"/>
      <c r="CU860" s="58"/>
      <c r="CV860" s="52"/>
      <c r="CW860" s="52"/>
      <c r="CX860" s="52"/>
      <c r="CY860" s="52"/>
      <c r="CZ860" s="52"/>
      <c r="DA860" s="52"/>
      <c r="DB860" s="52"/>
    </row>
    <row r="861" spans="1:106" ht="12.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211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2"/>
      <c r="CQ861" s="52"/>
      <c r="CR861" s="52"/>
      <c r="CS861" s="52"/>
      <c r="CT861" s="52"/>
      <c r="CU861" s="58"/>
      <c r="CV861" s="52"/>
      <c r="CW861" s="52"/>
      <c r="CX861" s="52"/>
      <c r="CY861" s="52"/>
      <c r="CZ861" s="52"/>
      <c r="DA861" s="52"/>
      <c r="DB861" s="52"/>
    </row>
    <row r="862" spans="1:106" ht="12.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211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2"/>
      <c r="CQ862" s="52"/>
      <c r="CR862" s="52"/>
      <c r="CS862" s="52"/>
      <c r="CT862" s="52"/>
      <c r="CU862" s="58"/>
      <c r="CV862" s="52"/>
      <c r="CW862" s="52"/>
      <c r="CX862" s="52"/>
      <c r="CY862" s="52"/>
      <c r="CZ862" s="52"/>
      <c r="DA862" s="52"/>
      <c r="DB862" s="52"/>
    </row>
    <row r="863" spans="1:106" ht="12.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211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  <c r="CS863" s="52"/>
      <c r="CT863" s="52"/>
      <c r="CU863" s="58"/>
      <c r="CV863" s="52"/>
      <c r="CW863" s="52"/>
      <c r="CX863" s="52"/>
      <c r="CY863" s="52"/>
      <c r="CZ863" s="52"/>
      <c r="DA863" s="52"/>
      <c r="DB863" s="52"/>
    </row>
    <row r="864" spans="1:106" ht="12.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211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2"/>
      <c r="CQ864" s="52"/>
      <c r="CR864" s="52"/>
      <c r="CS864" s="52"/>
      <c r="CT864" s="52"/>
      <c r="CU864" s="58"/>
      <c r="CV864" s="52"/>
      <c r="CW864" s="52"/>
      <c r="CX864" s="52"/>
      <c r="CY864" s="52"/>
      <c r="CZ864" s="52"/>
      <c r="DA864" s="52"/>
      <c r="DB864" s="52"/>
    </row>
    <row r="865" spans="1:106" ht="12.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211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2"/>
      <c r="CQ865" s="52"/>
      <c r="CR865" s="52"/>
      <c r="CS865" s="52"/>
      <c r="CT865" s="52"/>
      <c r="CU865" s="58"/>
      <c r="CV865" s="52"/>
      <c r="CW865" s="52"/>
      <c r="CX865" s="52"/>
      <c r="CY865" s="52"/>
      <c r="CZ865" s="52"/>
      <c r="DA865" s="52"/>
      <c r="DB865" s="52"/>
    </row>
    <row r="866" spans="1:106" ht="12.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211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  <c r="CS866" s="52"/>
      <c r="CT866" s="52"/>
      <c r="CU866" s="58"/>
      <c r="CV866" s="52"/>
      <c r="CW866" s="52"/>
      <c r="CX866" s="52"/>
      <c r="CY866" s="52"/>
      <c r="CZ866" s="52"/>
      <c r="DA866" s="52"/>
      <c r="DB866" s="52"/>
    </row>
    <row r="867" spans="1:106" ht="12.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211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2"/>
      <c r="CQ867" s="52"/>
      <c r="CR867" s="52"/>
      <c r="CS867" s="52"/>
      <c r="CT867" s="52"/>
      <c r="CU867" s="58"/>
      <c r="CV867" s="52"/>
      <c r="CW867" s="52"/>
      <c r="CX867" s="52"/>
      <c r="CY867" s="52"/>
      <c r="CZ867" s="52"/>
      <c r="DA867" s="52"/>
      <c r="DB867" s="52"/>
    </row>
    <row r="868" spans="1:106" ht="12.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211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2"/>
      <c r="CQ868" s="52"/>
      <c r="CR868" s="52"/>
      <c r="CS868" s="52"/>
      <c r="CT868" s="52"/>
      <c r="CU868" s="58"/>
      <c r="CV868" s="52"/>
      <c r="CW868" s="52"/>
      <c r="CX868" s="52"/>
      <c r="CY868" s="52"/>
      <c r="CZ868" s="52"/>
      <c r="DA868" s="52"/>
      <c r="DB868" s="52"/>
    </row>
    <row r="869" spans="1:106" ht="12.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211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  <c r="CS869" s="52"/>
      <c r="CT869" s="52"/>
      <c r="CU869" s="58"/>
      <c r="CV869" s="52"/>
      <c r="CW869" s="52"/>
      <c r="CX869" s="52"/>
      <c r="CY869" s="52"/>
      <c r="CZ869" s="52"/>
      <c r="DA869" s="52"/>
      <c r="DB869" s="52"/>
    </row>
    <row r="870" spans="1:106" ht="12.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211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2"/>
      <c r="CQ870" s="52"/>
      <c r="CR870" s="52"/>
      <c r="CS870" s="52"/>
      <c r="CT870" s="52"/>
      <c r="CU870" s="58"/>
      <c r="CV870" s="52"/>
      <c r="CW870" s="52"/>
      <c r="CX870" s="52"/>
      <c r="CY870" s="52"/>
      <c r="CZ870" s="52"/>
      <c r="DA870" s="52"/>
      <c r="DB870" s="52"/>
    </row>
    <row r="871" spans="1:106" ht="12.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211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2"/>
      <c r="CQ871" s="52"/>
      <c r="CR871" s="52"/>
      <c r="CS871" s="52"/>
      <c r="CT871" s="52"/>
      <c r="CU871" s="58"/>
      <c r="CV871" s="52"/>
      <c r="CW871" s="52"/>
      <c r="CX871" s="52"/>
      <c r="CY871" s="52"/>
      <c r="CZ871" s="52"/>
      <c r="DA871" s="52"/>
      <c r="DB871" s="52"/>
    </row>
    <row r="872" spans="1:106" ht="12.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211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  <c r="CS872" s="52"/>
      <c r="CT872" s="52"/>
      <c r="CU872" s="58"/>
      <c r="CV872" s="52"/>
      <c r="CW872" s="52"/>
      <c r="CX872" s="52"/>
      <c r="CY872" s="52"/>
      <c r="CZ872" s="52"/>
      <c r="DA872" s="52"/>
      <c r="DB872" s="52"/>
    </row>
    <row r="873" spans="1:106" ht="12.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211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2"/>
      <c r="CQ873" s="52"/>
      <c r="CR873" s="52"/>
      <c r="CS873" s="52"/>
      <c r="CT873" s="52"/>
      <c r="CU873" s="58"/>
      <c r="CV873" s="52"/>
      <c r="CW873" s="52"/>
      <c r="CX873" s="52"/>
      <c r="CY873" s="52"/>
      <c r="CZ873" s="52"/>
      <c r="DA873" s="52"/>
      <c r="DB873" s="52"/>
    </row>
    <row r="874" spans="1:106" ht="12.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211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2"/>
      <c r="CQ874" s="52"/>
      <c r="CR874" s="52"/>
      <c r="CS874" s="52"/>
      <c r="CT874" s="52"/>
      <c r="CU874" s="58"/>
      <c r="CV874" s="52"/>
      <c r="CW874" s="52"/>
      <c r="CX874" s="52"/>
      <c r="CY874" s="52"/>
      <c r="CZ874" s="52"/>
      <c r="DA874" s="52"/>
      <c r="DB874" s="52"/>
    </row>
    <row r="875" spans="1:106" ht="12.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211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  <c r="CS875" s="52"/>
      <c r="CT875" s="52"/>
      <c r="CU875" s="58"/>
      <c r="CV875" s="52"/>
      <c r="CW875" s="52"/>
      <c r="CX875" s="52"/>
      <c r="CY875" s="52"/>
      <c r="CZ875" s="52"/>
      <c r="DA875" s="52"/>
      <c r="DB875" s="52"/>
    </row>
    <row r="876" spans="1:106" ht="12.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211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2"/>
      <c r="CQ876" s="52"/>
      <c r="CR876" s="52"/>
      <c r="CS876" s="52"/>
      <c r="CT876" s="52"/>
      <c r="CU876" s="58"/>
      <c r="CV876" s="52"/>
      <c r="CW876" s="52"/>
      <c r="CX876" s="52"/>
      <c r="CY876" s="52"/>
      <c r="CZ876" s="52"/>
      <c r="DA876" s="52"/>
      <c r="DB876" s="52"/>
    </row>
    <row r="877" spans="1:106" ht="12.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211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2"/>
      <c r="CQ877" s="52"/>
      <c r="CR877" s="52"/>
      <c r="CS877" s="52"/>
      <c r="CT877" s="52"/>
      <c r="CU877" s="58"/>
      <c r="CV877" s="52"/>
      <c r="CW877" s="52"/>
      <c r="CX877" s="52"/>
      <c r="CY877" s="52"/>
      <c r="CZ877" s="52"/>
      <c r="DA877" s="52"/>
      <c r="DB877" s="52"/>
    </row>
    <row r="878" spans="1:106" ht="12.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211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  <c r="CS878" s="52"/>
      <c r="CT878" s="52"/>
      <c r="CU878" s="58"/>
      <c r="CV878" s="52"/>
      <c r="CW878" s="52"/>
      <c r="CX878" s="52"/>
      <c r="CY878" s="52"/>
      <c r="CZ878" s="52"/>
      <c r="DA878" s="52"/>
      <c r="DB878" s="52"/>
    </row>
    <row r="879" spans="1:106" ht="12.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211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2"/>
      <c r="CQ879" s="52"/>
      <c r="CR879" s="52"/>
      <c r="CS879" s="52"/>
      <c r="CT879" s="52"/>
      <c r="CU879" s="58"/>
      <c r="CV879" s="52"/>
      <c r="CW879" s="52"/>
      <c r="CX879" s="52"/>
      <c r="CY879" s="52"/>
      <c r="CZ879" s="52"/>
      <c r="DA879" s="52"/>
      <c r="DB879" s="52"/>
    </row>
    <row r="880" spans="1:106" ht="12.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211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2"/>
      <c r="CQ880" s="52"/>
      <c r="CR880" s="52"/>
      <c r="CS880" s="52"/>
      <c r="CT880" s="52"/>
      <c r="CU880" s="58"/>
      <c r="CV880" s="52"/>
      <c r="CW880" s="52"/>
      <c r="CX880" s="52"/>
      <c r="CY880" s="52"/>
      <c r="CZ880" s="52"/>
      <c r="DA880" s="52"/>
      <c r="DB880" s="52"/>
    </row>
    <row r="881" spans="1:106" ht="12.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211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  <c r="CS881" s="52"/>
      <c r="CT881" s="52"/>
      <c r="CU881" s="58"/>
      <c r="CV881" s="52"/>
      <c r="CW881" s="52"/>
      <c r="CX881" s="52"/>
      <c r="CY881" s="52"/>
      <c r="CZ881" s="52"/>
      <c r="DA881" s="52"/>
      <c r="DB881" s="52"/>
    </row>
    <row r="882" spans="1:106" ht="12.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211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2"/>
      <c r="CQ882" s="52"/>
      <c r="CR882" s="52"/>
      <c r="CS882" s="52"/>
      <c r="CT882" s="52"/>
      <c r="CU882" s="58"/>
      <c r="CV882" s="52"/>
      <c r="CW882" s="52"/>
      <c r="CX882" s="52"/>
      <c r="CY882" s="52"/>
      <c r="CZ882" s="52"/>
      <c r="DA882" s="52"/>
      <c r="DB882" s="52"/>
    </row>
    <row r="883" spans="1:106" ht="12.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211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2"/>
      <c r="CQ883" s="52"/>
      <c r="CR883" s="52"/>
      <c r="CS883" s="52"/>
      <c r="CT883" s="52"/>
      <c r="CU883" s="58"/>
      <c r="CV883" s="52"/>
      <c r="CW883" s="52"/>
      <c r="CX883" s="52"/>
      <c r="CY883" s="52"/>
      <c r="CZ883" s="52"/>
      <c r="DA883" s="52"/>
      <c r="DB883" s="52"/>
    </row>
    <row r="884" spans="1:106" ht="12.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211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  <c r="CS884" s="52"/>
      <c r="CT884" s="52"/>
      <c r="CU884" s="58"/>
      <c r="CV884" s="52"/>
      <c r="CW884" s="52"/>
      <c r="CX884" s="52"/>
      <c r="CY884" s="52"/>
      <c r="CZ884" s="52"/>
      <c r="DA884" s="52"/>
      <c r="DB884" s="52"/>
    </row>
    <row r="885" spans="1:106" ht="12.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211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2"/>
      <c r="CQ885" s="52"/>
      <c r="CR885" s="52"/>
      <c r="CS885" s="52"/>
      <c r="CT885" s="52"/>
      <c r="CU885" s="58"/>
      <c r="CV885" s="52"/>
      <c r="CW885" s="52"/>
      <c r="CX885" s="52"/>
      <c r="CY885" s="52"/>
      <c r="CZ885" s="52"/>
      <c r="DA885" s="52"/>
      <c r="DB885" s="52"/>
    </row>
    <row r="886" spans="1:106" ht="12.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211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2"/>
      <c r="CQ886" s="52"/>
      <c r="CR886" s="52"/>
      <c r="CS886" s="52"/>
      <c r="CT886" s="52"/>
      <c r="CU886" s="58"/>
      <c r="CV886" s="52"/>
      <c r="CW886" s="52"/>
      <c r="CX886" s="52"/>
      <c r="CY886" s="52"/>
      <c r="CZ886" s="52"/>
      <c r="DA886" s="52"/>
      <c r="DB886" s="52"/>
    </row>
    <row r="887" spans="1:106" ht="12.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211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52"/>
      <c r="CU887" s="58"/>
      <c r="CV887" s="52"/>
      <c r="CW887" s="52"/>
      <c r="CX887" s="52"/>
      <c r="CY887" s="52"/>
      <c r="CZ887" s="52"/>
      <c r="DA887" s="52"/>
      <c r="DB887" s="52"/>
    </row>
    <row r="888" spans="1:106" ht="12.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211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2"/>
      <c r="CQ888" s="52"/>
      <c r="CR888" s="52"/>
      <c r="CS888" s="52"/>
      <c r="CT888" s="52"/>
      <c r="CU888" s="58"/>
      <c r="CV888" s="52"/>
      <c r="CW888" s="52"/>
      <c r="CX888" s="52"/>
      <c r="CY888" s="52"/>
      <c r="CZ888" s="52"/>
      <c r="DA888" s="52"/>
      <c r="DB888" s="52"/>
    </row>
    <row r="889" spans="1:106" ht="12.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211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52"/>
      <c r="CU889" s="58"/>
      <c r="CV889" s="52"/>
      <c r="CW889" s="52"/>
      <c r="CX889" s="52"/>
      <c r="CY889" s="52"/>
      <c r="CZ889" s="52"/>
      <c r="DA889" s="52"/>
      <c r="DB889" s="52"/>
    </row>
    <row r="890" spans="1:106" ht="12.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211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8"/>
      <c r="CV890" s="52"/>
      <c r="CW890" s="52"/>
      <c r="CX890" s="52"/>
      <c r="CY890" s="52"/>
      <c r="CZ890" s="52"/>
      <c r="DA890" s="52"/>
      <c r="DB890" s="52"/>
    </row>
    <row r="891" spans="1:106" ht="12.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211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52"/>
      <c r="CU891" s="58"/>
      <c r="CV891" s="52"/>
      <c r="CW891" s="52"/>
      <c r="CX891" s="52"/>
      <c r="CY891" s="52"/>
      <c r="CZ891" s="52"/>
      <c r="DA891" s="52"/>
      <c r="DB891" s="52"/>
    </row>
    <row r="892" spans="1:106" ht="12.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211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52"/>
      <c r="CU892" s="58"/>
      <c r="CV892" s="52"/>
      <c r="CW892" s="52"/>
      <c r="CX892" s="52"/>
      <c r="CY892" s="52"/>
      <c r="CZ892" s="52"/>
      <c r="DA892" s="52"/>
      <c r="DB892" s="52"/>
    </row>
    <row r="893" spans="1:106" ht="12.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211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8"/>
      <c r="CV893" s="52"/>
      <c r="CW893" s="52"/>
      <c r="CX893" s="52"/>
      <c r="CY893" s="52"/>
      <c r="CZ893" s="52"/>
      <c r="DA893" s="52"/>
      <c r="DB893" s="52"/>
    </row>
    <row r="894" spans="1:106" ht="12.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211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52"/>
      <c r="CU894" s="58"/>
      <c r="CV894" s="52"/>
      <c r="CW894" s="52"/>
      <c r="CX894" s="52"/>
      <c r="CY894" s="52"/>
      <c r="CZ894" s="52"/>
      <c r="DA894" s="52"/>
      <c r="DB894" s="52"/>
    </row>
    <row r="895" spans="1:106" ht="12.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211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52"/>
      <c r="CU895" s="58"/>
      <c r="CV895" s="52"/>
      <c r="CW895" s="52"/>
      <c r="CX895" s="52"/>
      <c r="CY895" s="52"/>
      <c r="CZ895" s="52"/>
      <c r="DA895" s="52"/>
      <c r="DB895" s="52"/>
    </row>
    <row r="896" spans="1:106" ht="12.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211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8"/>
      <c r="CV896" s="52"/>
      <c r="CW896" s="52"/>
      <c r="CX896" s="52"/>
      <c r="CY896" s="52"/>
      <c r="CZ896" s="52"/>
      <c r="DA896" s="52"/>
      <c r="DB896" s="52"/>
    </row>
    <row r="897" spans="1:106" ht="12.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211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52"/>
      <c r="CU897" s="58"/>
      <c r="CV897" s="52"/>
      <c r="CW897" s="52"/>
      <c r="CX897" s="52"/>
      <c r="CY897" s="52"/>
      <c r="CZ897" s="52"/>
      <c r="DA897" s="52"/>
      <c r="DB897" s="52"/>
    </row>
    <row r="898" spans="1:106" ht="12.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211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52"/>
      <c r="CU898" s="58"/>
      <c r="CV898" s="52"/>
      <c r="CW898" s="52"/>
      <c r="CX898" s="52"/>
      <c r="CY898" s="52"/>
      <c r="CZ898" s="52"/>
      <c r="DA898" s="52"/>
      <c r="DB898" s="52"/>
    </row>
    <row r="899" spans="1:106" ht="12.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211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8"/>
      <c r="CV899" s="52"/>
      <c r="CW899" s="52"/>
      <c r="CX899" s="52"/>
      <c r="CY899" s="52"/>
      <c r="CZ899" s="52"/>
      <c r="DA899" s="52"/>
      <c r="DB899" s="52"/>
    </row>
    <row r="900" spans="1:106" ht="12.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211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  <c r="CS900" s="52"/>
      <c r="CT900" s="52"/>
      <c r="CU900" s="58"/>
      <c r="CV900" s="52"/>
      <c r="CW900" s="52"/>
      <c r="CX900" s="52"/>
      <c r="CY900" s="52"/>
      <c r="CZ900" s="52"/>
      <c r="DA900" s="52"/>
      <c r="DB900" s="52"/>
    </row>
    <row r="901" spans="1:106" ht="12.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211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  <c r="CS901" s="52"/>
      <c r="CT901" s="52"/>
      <c r="CU901" s="58"/>
      <c r="CV901" s="52"/>
      <c r="CW901" s="52"/>
      <c r="CX901" s="52"/>
      <c r="CY901" s="52"/>
      <c r="CZ901" s="52"/>
      <c r="DA901" s="52"/>
      <c r="DB901" s="52"/>
    </row>
    <row r="902" spans="1:106" ht="12.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211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8"/>
      <c r="CV902" s="52"/>
      <c r="CW902" s="52"/>
      <c r="CX902" s="52"/>
      <c r="CY902" s="52"/>
      <c r="CZ902" s="52"/>
      <c r="DA902" s="52"/>
      <c r="DB902" s="52"/>
    </row>
    <row r="903" spans="1:106" ht="12.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211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  <c r="CS903" s="52"/>
      <c r="CT903" s="52"/>
      <c r="CU903" s="58"/>
      <c r="CV903" s="52"/>
      <c r="CW903" s="52"/>
      <c r="CX903" s="52"/>
      <c r="CY903" s="52"/>
      <c r="CZ903" s="52"/>
      <c r="DA903" s="52"/>
      <c r="DB903" s="52"/>
    </row>
    <row r="904" spans="1:106" ht="12.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211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  <c r="CS904" s="52"/>
      <c r="CT904" s="52"/>
      <c r="CU904" s="58"/>
      <c r="CV904" s="52"/>
      <c r="CW904" s="52"/>
      <c r="CX904" s="52"/>
      <c r="CY904" s="52"/>
      <c r="CZ904" s="52"/>
      <c r="DA904" s="52"/>
      <c r="DB904" s="52"/>
    </row>
    <row r="905" spans="1:106" ht="12.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211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8"/>
      <c r="CV905" s="52"/>
      <c r="CW905" s="52"/>
      <c r="CX905" s="52"/>
      <c r="CY905" s="52"/>
      <c r="CZ905" s="52"/>
      <c r="DA905" s="52"/>
      <c r="DB905" s="52"/>
    </row>
    <row r="906" spans="1:106" ht="12.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211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2"/>
      <c r="CQ906" s="52"/>
      <c r="CR906" s="52"/>
      <c r="CS906" s="52"/>
      <c r="CT906" s="52"/>
      <c r="CU906" s="58"/>
      <c r="CV906" s="52"/>
      <c r="CW906" s="52"/>
      <c r="CX906" s="52"/>
      <c r="CY906" s="52"/>
      <c r="CZ906" s="52"/>
      <c r="DA906" s="52"/>
      <c r="DB906" s="52"/>
    </row>
    <row r="907" spans="1:106" ht="12.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211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2"/>
      <c r="CQ907" s="52"/>
      <c r="CR907" s="52"/>
      <c r="CS907" s="52"/>
      <c r="CT907" s="52"/>
      <c r="CU907" s="58"/>
      <c r="CV907" s="52"/>
      <c r="CW907" s="52"/>
      <c r="CX907" s="52"/>
      <c r="CY907" s="52"/>
      <c r="CZ907" s="52"/>
      <c r="DA907" s="52"/>
      <c r="DB907" s="52"/>
    </row>
    <row r="908" spans="1:106" ht="12.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211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  <c r="CS908" s="52"/>
      <c r="CT908" s="52"/>
      <c r="CU908" s="58"/>
      <c r="CV908" s="52"/>
      <c r="CW908" s="52"/>
      <c r="CX908" s="52"/>
      <c r="CY908" s="52"/>
      <c r="CZ908" s="52"/>
      <c r="DA908" s="52"/>
      <c r="DB908" s="52"/>
    </row>
    <row r="909" spans="1:106" ht="12.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211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2"/>
      <c r="CQ909" s="52"/>
      <c r="CR909" s="52"/>
      <c r="CS909" s="52"/>
      <c r="CT909" s="52"/>
      <c r="CU909" s="58"/>
      <c r="CV909" s="52"/>
      <c r="CW909" s="52"/>
      <c r="CX909" s="52"/>
      <c r="CY909" s="52"/>
      <c r="CZ909" s="52"/>
      <c r="DA909" s="52"/>
      <c r="DB909" s="52"/>
    </row>
    <row r="910" spans="1:106" ht="12.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211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2"/>
      <c r="CQ910" s="52"/>
      <c r="CR910" s="52"/>
      <c r="CS910" s="52"/>
      <c r="CT910" s="52"/>
      <c r="CU910" s="58"/>
      <c r="CV910" s="52"/>
      <c r="CW910" s="52"/>
      <c r="CX910" s="52"/>
      <c r="CY910" s="52"/>
      <c r="CZ910" s="52"/>
      <c r="DA910" s="52"/>
      <c r="DB910" s="52"/>
    </row>
    <row r="911" spans="1:106" ht="12.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211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8"/>
      <c r="CV911" s="52"/>
      <c r="CW911" s="52"/>
      <c r="CX911" s="52"/>
      <c r="CY911" s="52"/>
      <c r="CZ911" s="52"/>
      <c r="DA911" s="52"/>
      <c r="DB911" s="52"/>
    </row>
    <row r="912" spans="1:106" ht="12.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211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  <c r="CS912" s="52"/>
      <c r="CT912" s="52"/>
      <c r="CU912" s="58"/>
      <c r="CV912" s="52"/>
      <c r="CW912" s="52"/>
      <c r="CX912" s="52"/>
      <c r="CY912" s="52"/>
      <c r="CZ912" s="52"/>
      <c r="DA912" s="52"/>
      <c r="DB912" s="52"/>
    </row>
    <row r="913" spans="1:106" ht="12.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211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  <c r="CS913" s="52"/>
      <c r="CT913" s="52"/>
      <c r="CU913" s="58"/>
      <c r="CV913" s="52"/>
      <c r="CW913" s="52"/>
      <c r="CX913" s="52"/>
      <c r="CY913" s="52"/>
      <c r="CZ913" s="52"/>
      <c r="DA913" s="52"/>
      <c r="DB913" s="52"/>
    </row>
    <row r="914" spans="1:106" ht="12.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211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8"/>
      <c r="CV914" s="52"/>
      <c r="CW914" s="52"/>
      <c r="CX914" s="52"/>
      <c r="CY914" s="52"/>
      <c r="CZ914" s="52"/>
      <c r="DA914" s="52"/>
      <c r="DB914" s="52"/>
    </row>
    <row r="915" spans="1:106" ht="12.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211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  <c r="CS915" s="52"/>
      <c r="CT915" s="52"/>
      <c r="CU915" s="58"/>
      <c r="CV915" s="52"/>
      <c r="CW915" s="52"/>
      <c r="CX915" s="52"/>
      <c r="CY915" s="52"/>
      <c r="CZ915" s="52"/>
      <c r="DA915" s="52"/>
      <c r="DB915" s="52"/>
    </row>
    <row r="916" spans="1:106" ht="12.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211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  <c r="CS916" s="52"/>
      <c r="CT916" s="52"/>
      <c r="CU916" s="58"/>
      <c r="CV916" s="52"/>
      <c r="CW916" s="52"/>
      <c r="CX916" s="52"/>
      <c r="CY916" s="52"/>
      <c r="CZ916" s="52"/>
      <c r="DA916" s="52"/>
      <c r="DB916" s="52"/>
    </row>
    <row r="917" spans="1:106" ht="12.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211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8"/>
      <c r="CV917" s="52"/>
      <c r="CW917" s="52"/>
      <c r="CX917" s="52"/>
      <c r="CY917" s="52"/>
      <c r="CZ917" s="52"/>
      <c r="DA917" s="52"/>
      <c r="DB917" s="52"/>
    </row>
    <row r="918" spans="1:106" ht="12.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211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  <c r="CS918" s="52"/>
      <c r="CT918" s="52"/>
      <c r="CU918" s="58"/>
      <c r="CV918" s="52"/>
      <c r="CW918" s="52"/>
      <c r="CX918" s="52"/>
      <c r="CY918" s="52"/>
      <c r="CZ918" s="52"/>
      <c r="DA918" s="52"/>
      <c r="DB918" s="52"/>
    </row>
    <row r="919" spans="1:106" ht="12.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211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  <c r="CS919" s="52"/>
      <c r="CT919" s="52"/>
      <c r="CU919" s="58"/>
      <c r="CV919" s="52"/>
      <c r="CW919" s="52"/>
      <c r="CX919" s="52"/>
      <c r="CY919" s="52"/>
      <c r="CZ919" s="52"/>
      <c r="DA919" s="52"/>
      <c r="DB919" s="52"/>
    </row>
    <row r="920" spans="1:106" ht="12.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211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8"/>
      <c r="CV920" s="52"/>
      <c r="CW920" s="52"/>
      <c r="CX920" s="52"/>
      <c r="CY920" s="52"/>
      <c r="CZ920" s="52"/>
      <c r="DA920" s="52"/>
      <c r="DB920" s="52"/>
    </row>
    <row r="921" spans="1:106" ht="12.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211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  <c r="CS921" s="52"/>
      <c r="CT921" s="52"/>
      <c r="CU921" s="58"/>
      <c r="CV921" s="52"/>
      <c r="CW921" s="52"/>
      <c r="CX921" s="52"/>
      <c r="CY921" s="52"/>
      <c r="CZ921" s="52"/>
      <c r="DA921" s="52"/>
      <c r="DB921" s="52"/>
    </row>
    <row r="922" spans="1:106" ht="12.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211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  <c r="CS922" s="52"/>
      <c r="CT922" s="52"/>
      <c r="CU922" s="58"/>
      <c r="CV922" s="52"/>
      <c r="CW922" s="52"/>
      <c r="CX922" s="52"/>
      <c r="CY922" s="52"/>
      <c r="CZ922" s="52"/>
      <c r="DA922" s="52"/>
      <c r="DB922" s="52"/>
    </row>
    <row r="923" spans="1:106" ht="12.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211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8"/>
      <c r="CV923" s="52"/>
      <c r="CW923" s="52"/>
      <c r="CX923" s="52"/>
      <c r="CY923" s="52"/>
      <c r="CZ923" s="52"/>
      <c r="DA923" s="52"/>
      <c r="DB923" s="52"/>
    </row>
    <row r="924" spans="1:106" ht="12.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211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  <c r="CS924" s="52"/>
      <c r="CT924" s="52"/>
      <c r="CU924" s="58"/>
      <c r="CV924" s="52"/>
      <c r="CW924" s="52"/>
      <c r="CX924" s="52"/>
      <c r="CY924" s="52"/>
      <c r="CZ924" s="52"/>
      <c r="DA924" s="52"/>
      <c r="DB924" s="52"/>
    </row>
    <row r="925" spans="1:106" ht="12.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211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  <c r="CS925" s="52"/>
      <c r="CT925" s="52"/>
      <c r="CU925" s="58"/>
      <c r="CV925" s="52"/>
      <c r="CW925" s="52"/>
      <c r="CX925" s="52"/>
      <c r="CY925" s="52"/>
      <c r="CZ925" s="52"/>
      <c r="DA925" s="52"/>
      <c r="DB925" s="52"/>
    </row>
    <row r="926" spans="1:106" ht="12.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211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8"/>
      <c r="CV926" s="52"/>
      <c r="CW926" s="52"/>
      <c r="CX926" s="52"/>
      <c r="CY926" s="52"/>
      <c r="CZ926" s="52"/>
      <c r="DA926" s="52"/>
      <c r="DB926" s="52"/>
    </row>
    <row r="927" spans="1:106" ht="12.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211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52"/>
      <c r="CU927" s="58"/>
      <c r="CV927" s="52"/>
      <c r="CW927" s="52"/>
      <c r="CX927" s="52"/>
      <c r="CY927" s="52"/>
      <c r="CZ927" s="52"/>
      <c r="DA927" s="52"/>
      <c r="DB927" s="52"/>
    </row>
    <row r="928" spans="1:106" ht="12.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211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  <c r="CS928" s="52"/>
      <c r="CT928" s="52"/>
      <c r="CU928" s="58"/>
      <c r="CV928" s="52"/>
      <c r="CW928" s="52"/>
      <c r="CX928" s="52"/>
      <c r="CY928" s="52"/>
      <c r="CZ928" s="52"/>
      <c r="DA928" s="52"/>
      <c r="DB928" s="52"/>
    </row>
    <row r="929" spans="1:106" ht="12.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211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8"/>
      <c r="CV929" s="52"/>
      <c r="CW929" s="52"/>
      <c r="CX929" s="52"/>
      <c r="CY929" s="52"/>
      <c r="CZ929" s="52"/>
      <c r="DA929" s="52"/>
      <c r="DB929" s="52"/>
    </row>
    <row r="930" spans="1:106" ht="12.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211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52"/>
      <c r="CU930" s="58"/>
      <c r="CV930" s="52"/>
      <c r="CW930" s="52"/>
      <c r="CX930" s="52"/>
      <c r="CY930" s="52"/>
      <c r="CZ930" s="52"/>
      <c r="DA930" s="52"/>
      <c r="DB930" s="52"/>
    </row>
    <row r="931" spans="1:106" ht="12.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211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52"/>
      <c r="CU931" s="58"/>
      <c r="CV931" s="52"/>
      <c r="CW931" s="52"/>
      <c r="CX931" s="52"/>
      <c r="CY931" s="52"/>
      <c r="CZ931" s="52"/>
      <c r="DA931" s="52"/>
      <c r="DB931" s="52"/>
    </row>
    <row r="932" spans="1:106" ht="12.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211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8"/>
      <c r="CV932" s="52"/>
      <c r="CW932" s="52"/>
      <c r="CX932" s="52"/>
      <c r="CY932" s="52"/>
      <c r="CZ932" s="52"/>
      <c r="DA932" s="52"/>
      <c r="DB932" s="52"/>
    </row>
    <row r="933" spans="1:106" ht="12.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211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52"/>
      <c r="CU933" s="58"/>
      <c r="CV933" s="52"/>
      <c r="CW933" s="52"/>
      <c r="CX933" s="52"/>
      <c r="CY933" s="52"/>
      <c r="CZ933" s="52"/>
      <c r="DA933" s="52"/>
      <c r="DB933" s="52"/>
    </row>
    <row r="934" spans="1:106" ht="12.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211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52"/>
      <c r="CU934" s="58"/>
      <c r="CV934" s="52"/>
      <c r="CW934" s="52"/>
      <c r="CX934" s="52"/>
      <c r="CY934" s="52"/>
      <c r="CZ934" s="52"/>
      <c r="DA934" s="52"/>
      <c r="DB934" s="52"/>
    </row>
    <row r="935" spans="1:106" ht="12.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211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8"/>
      <c r="CV935" s="52"/>
      <c r="CW935" s="52"/>
      <c r="CX935" s="52"/>
      <c r="CY935" s="52"/>
      <c r="CZ935" s="52"/>
      <c r="DA935" s="52"/>
      <c r="DB935" s="52"/>
    </row>
    <row r="936" spans="1:106" ht="12.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211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52"/>
      <c r="CU936" s="58"/>
      <c r="CV936" s="52"/>
      <c r="CW936" s="52"/>
      <c r="CX936" s="52"/>
      <c r="CY936" s="52"/>
      <c r="CZ936" s="52"/>
      <c r="DA936" s="52"/>
      <c r="DB936" s="52"/>
    </row>
    <row r="937" spans="1:106" ht="12.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211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52"/>
      <c r="CU937" s="58"/>
      <c r="CV937" s="52"/>
      <c r="CW937" s="52"/>
      <c r="CX937" s="52"/>
      <c r="CY937" s="52"/>
      <c r="CZ937" s="52"/>
      <c r="DA937" s="52"/>
      <c r="DB937" s="52"/>
    </row>
    <row r="938" spans="1:106" ht="12.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211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8"/>
      <c r="CV938" s="52"/>
      <c r="CW938" s="52"/>
      <c r="CX938" s="52"/>
      <c r="CY938" s="52"/>
      <c r="CZ938" s="52"/>
      <c r="DA938" s="52"/>
      <c r="DB938" s="52"/>
    </row>
    <row r="939" spans="1:106" ht="12.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211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52"/>
      <c r="CU939" s="58"/>
      <c r="CV939" s="52"/>
      <c r="CW939" s="52"/>
      <c r="CX939" s="52"/>
      <c r="CY939" s="52"/>
      <c r="CZ939" s="52"/>
      <c r="DA939" s="52"/>
      <c r="DB939" s="52"/>
    </row>
    <row r="940" spans="1:106" ht="12.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211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  <c r="CS940" s="52"/>
      <c r="CT940" s="52"/>
      <c r="CU940" s="58"/>
      <c r="CV940" s="52"/>
      <c r="CW940" s="52"/>
      <c r="CX940" s="52"/>
      <c r="CY940" s="52"/>
      <c r="CZ940" s="52"/>
      <c r="DA940" s="52"/>
      <c r="DB940" s="52"/>
    </row>
    <row r="941" spans="1:106" ht="12.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211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8"/>
      <c r="CV941" s="52"/>
      <c r="CW941" s="52"/>
      <c r="CX941" s="52"/>
      <c r="CY941" s="52"/>
      <c r="CZ941" s="52"/>
      <c r="DA941" s="52"/>
      <c r="DB941" s="52"/>
    </row>
    <row r="942" spans="1:106" ht="12.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211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  <c r="CS942" s="52"/>
      <c r="CT942" s="52"/>
      <c r="CU942" s="58"/>
      <c r="CV942" s="52"/>
      <c r="CW942" s="52"/>
      <c r="CX942" s="52"/>
      <c r="CY942" s="52"/>
      <c r="CZ942" s="52"/>
      <c r="DA942" s="52"/>
      <c r="DB942" s="52"/>
    </row>
    <row r="943" spans="1:106" ht="12.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211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  <c r="CS943" s="52"/>
      <c r="CT943" s="52"/>
      <c r="CU943" s="58"/>
      <c r="CV943" s="52"/>
      <c r="CW943" s="52"/>
      <c r="CX943" s="52"/>
      <c r="CY943" s="52"/>
      <c r="CZ943" s="52"/>
      <c r="DA943" s="52"/>
      <c r="DB943" s="52"/>
    </row>
    <row r="944" spans="1:106" ht="12.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211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8"/>
      <c r="CV944" s="52"/>
      <c r="CW944" s="52"/>
      <c r="CX944" s="52"/>
      <c r="CY944" s="52"/>
      <c r="CZ944" s="52"/>
      <c r="DA944" s="52"/>
      <c r="DB944" s="52"/>
    </row>
    <row r="945" spans="1:106" ht="12.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211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  <c r="CS945" s="52"/>
      <c r="CT945" s="52"/>
      <c r="CU945" s="58"/>
      <c r="CV945" s="52"/>
      <c r="CW945" s="52"/>
      <c r="CX945" s="52"/>
      <c r="CY945" s="52"/>
      <c r="CZ945" s="52"/>
      <c r="DA945" s="52"/>
      <c r="DB945" s="52"/>
    </row>
    <row r="946" spans="1:106" ht="12.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211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  <c r="CS946" s="52"/>
      <c r="CT946" s="52"/>
      <c r="CU946" s="58"/>
      <c r="CV946" s="52"/>
      <c r="CW946" s="52"/>
      <c r="CX946" s="52"/>
      <c r="CY946" s="52"/>
      <c r="CZ946" s="52"/>
      <c r="DA946" s="52"/>
      <c r="DB946" s="52"/>
    </row>
    <row r="947" spans="1:106" ht="12.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211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8"/>
      <c r="CV947" s="52"/>
      <c r="CW947" s="52"/>
      <c r="CX947" s="52"/>
      <c r="CY947" s="52"/>
      <c r="CZ947" s="52"/>
      <c r="DA947" s="52"/>
      <c r="DB947" s="52"/>
    </row>
    <row r="948" spans="1:106" ht="12.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211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  <c r="CS948" s="52"/>
      <c r="CT948" s="52"/>
      <c r="CU948" s="58"/>
      <c r="CV948" s="52"/>
      <c r="CW948" s="52"/>
      <c r="CX948" s="52"/>
      <c r="CY948" s="52"/>
      <c r="CZ948" s="52"/>
      <c r="DA948" s="52"/>
      <c r="DB948" s="52"/>
    </row>
    <row r="949" spans="1:106" ht="12.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211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  <c r="CS949" s="52"/>
      <c r="CT949" s="52"/>
      <c r="CU949" s="58"/>
      <c r="CV949" s="52"/>
      <c r="CW949" s="52"/>
      <c r="CX949" s="52"/>
      <c r="CY949" s="52"/>
      <c r="CZ949" s="52"/>
      <c r="DA949" s="52"/>
      <c r="DB949" s="52"/>
    </row>
    <row r="950" spans="1:106" ht="12.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211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8"/>
      <c r="CV950" s="52"/>
      <c r="CW950" s="52"/>
      <c r="CX950" s="52"/>
      <c r="CY950" s="52"/>
      <c r="CZ950" s="52"/>
      <c r="DA950" s="52"/>
      <c r="DB950" s="52"/>
    </row>
    <row r="951" spans="1:106" ht="12.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211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  <c r="CS951" s="52"/>
      <c r="CT951" s="52"/>
      <c r="CU951" s="58"/>
      <c r="CV951" s="52"/>
      <c r="CW951" s="52"/>
      <c r="CX951" s="52"/>
      <c r="CY951" s="52"/>
      <c r="CZ951" s="52"/>
      <c r="DA951" s="52"/>
      <c r="DB951" s="52"/>
    </row>
    <row r="952" spans="1:106" ht="12.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211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  <c r="CS952" s="52"/>
      <c r="CT952" s="52"/>
      <c r="CU952" s="58"/>
      <c r="CV952" s="52"/>
      <c r="CW952" s="52"/>
      <c r="CX952" s="52"/>
      <c r="CY952" s="52"/>
      <c r="CZ952" s="52"/>
      <c r="DA952" s="52"/>
      <c r="DB952" s="52"/>
    </row>
    <row r="953" spans="1:106" ht="12.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211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8"/>
      <c r="CV953" s="52"/>
      <c r="CW953" s="52"/>
      <c r="CX953" s="52"/>
      <c r="CY953" s="52"/>
      <c r="CZ953" s="52"/>
      <c r="DA953" s="52"/>
      <c r="DB953" s="52"/>
    </row>
    <row r="954" spans="1:106" ht="12.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211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  <c r="CS954" s="52"/>
      <c r="CT954" s="52"/>
      <c r="CU954" s="58"/>
      <c r="CV954" s="52"/>
      <c r="CW954" s="52"/>
      <c r="CX954" s="52"/>
      <c r="CY954" s="52"/>
      <c r="CZ954" s="52"/>
      <c r="DA954" s="52"/>
      <c r="DB954" s="52"/>
    </row>
    <row r="955" spans="1:106" ht="12.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211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  <c r="CS955" s="52"/>
      <c r="CT955" s="52"/>
      <c r="CU955" s="58"/>
      <c r="CV955" s="52"/>
      <c r="CW955" s="52"/>
      <c r="CX955" s="52"/>
      <c r="CY955" s="52"/>
      <c r="CZ955" s="52"/>
      <c r="DA955" s="52"/>
      <c r="DB955" s="52"/>
    </row>
    <row r="956" spans="1:106" ht="12.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211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8"/>
      <c r="CV956" s="52"/>
      <c r="CW956" s="52"/>
      <c r="CX956" s="52"/>
      <c r="CY956" s="52"/>
      <c r="CZ956" s="52"/>
      <c r="DA956" s="52"/>
      <c r="DB956" s="52"/>
    </row>
    <row r="957" spans="1:106" ht="12.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211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  <c r="CS957" s="52"/>
      <c r="CT957" s="52"/>
      <c r="CU957" s="58"/>
      <c r="CV957" s="52"/>
      <c r="CW957" s="52"/>
      <c r="CX957" s="52"/>
      <c r="CY957" s="52"/>
      <c r="CZ957" s="52"/>
      <c r="DA957" s="52"/>
      <c r="DB957" s="52"/>
    </row>
    <row r="958" spans="1:106" ht="12.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211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  <c r="CS958" s="52"/>
      <c r="CT958" s="52"/>
      <c r="CU958" s="58"/>
      <c r="CV958" s="52"/>
      <c r="CW958" s="52"/>
      <c r="CX958" s="52"/>
      <c r="CY958" s="52"/>
      <c r="CZ958" s="52"/>
      <c r="DA958" s="52"/>
      <c r="DB958" s="52"/>
    </row>
    <row r="959" spans="1:106" ht="12.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211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8"/>
      <c r="CV959" s="52"/>
      <c r="CW959" s="52"/>
      <c r="CX959" s="52"/>
      <c r="CY959" s="52"/>
      <c r="CZ959" s="52"/>
      <c r="DA959" s="52"/>
      <c r="DB959" s="52"/>
    </row>
    <row r="960" spans="1:106" ht="12.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211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  <c r="CS960" s="52"/>
      <c r="CT960" s="52"/>
      <c r="CU960" s="58"/>
      <c r="CV960" s="52"/>
      <c r="CW960" s="52"/>
      <c r="CX960" s="52"/>
      <c r="CY960" s="52"/>
      <c r="CZ960" s="52"/>
      <c r="DA960" s="52"/>
      <c r="DB960" s="52"/>
    </row>
    <row r="961" spans="1:106" ht="12.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211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  <c r="CS961" s="52"/>
      <c r="CT961" s="52"/>
      <c r="CU961" s="58"/>
      <c r="CV961" s="52"/>
      <c r="CW961" s="52"/>
      <c r="CX961" s="52"/>
      <c r="CY961" s="52"/>
      <c r="CZ961" s="52"/>
      <c r="DA961" s="52"/>
      <c r="DB961" s="52"/>
    </row>
    <row r="962" spans="1:106" ht="12.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211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8"/>
      <c r="CV962" s="52"/>
      <c r="CW962" s="52"/>
      <c r="CX962" s="52"/>
      <c r="CY962" s="52"/>
      <c r="CZ962" s="52"/>
      <c r="DA962" s="52"/>
      <c r="DB962" s="52"/>
    </row>
    <row r="963" spans="1:106" ht="12.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211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8"/>
      <c r="CV963" s="52"/>
      <c r="CW963" s="52"/>
      <c r="CX963" s="52"/>
      <c r="CY963" s="52"/>
      <c r="CZ963" s="52"/>
      <c r="DA963" s="52"/>
      <c r="DB963" s="52"/>
    </row>
    <row r="964" spans="1:106" ht="12.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211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  <c r="CS964" s="52"/>
      <c r="CT964" s="52"/>
      <c r="CU964" s="58"/>
      <c r="CV964" s="52"/>
      <c r="CW964" s="52"/>
      <c r="CX964" s="52"/>
      <c r="CY964" s="52"/>
      <c r="CZ964" s="52"/>
      <c r="DA964" s="52"/>
      <c r="DB964" s="52"/>
    </row>
    <row r="965" spans="1:106" ht="12.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211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8"/>
      <c r="CV965" s="52"/>
      <c r="CW965" s="52"/>
      <c r="CX965" s="52"/>
      <c r="CY965" s="52"/>
      <c r="CZ965" s="52"/>
      <c r="DA965" s="52"/>
      <c r="DB965" s="52"/>
    </row>
    <row r="966" spans="1:106" ht="12.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211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8"/>
      <c r="CV966" s="52"/>
      <c r="CW966" s="52"/>
      <c r="CX966" s="52"/>
      <c r="CY966" s="52"/>
      <c r="CZ966" s="52"/>
      <c r="DA966" s="52"/>
      <c r="DB966" s="52"/>
    </row>
    <row r="967" spans="1:106" ht="12.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211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8"/>
      <c r="CV967" s="52"/>
      <c r="CW967" s="52"/>
      <c r="CX967" s="52"/>
      <c r="CY967" s="52"/>
      <c r="CZ967" s="52"/>
      <c r="DA967" s="52"/>
      <c r="DB967" s="52"/>
    </row>
    <row r="968" spans="1:106" ht="12.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211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8"/>
      <c r="CV968" s="52"/>
      <c r="CW968" s="52"/>
      <c r="CX968" s="52"/>
      <c r="CY968" s="52"/>
      <c r="CZ968" s="52"/>
      <c r="DA968" s="52"/>
      <c r="DB968" s="52"/>
    </row>
    <row r="969" spans="1:106" ht="12.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211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8"/>
      <c r="CV969" s="52"/>
      <c r="CW969" s="52"/>
      <c r="CX969" s="52"/>
      <c r="CY969" s="52"/>
      <c r="CZ969" s="52"/>
      <c r="DA969" s="52"/>
      <c r="DB969" s="52"/>
    </row>
    <row r="970" spans="1:106" ht="12.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211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8"/>
      <c r="CV970" s="52"/>
      <c r="CW970" s="52"/>
      <c r="CX970" s="52"/>
      <c r="CY970" s="52"/>
      <c r="CZ970" s="52"/>
      <c r="DA970" s="52"/>
      <c r="DB970" s="52"/>
    </row>
    <row r="971" spans="1:106" ht="12.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211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8"/>
      <c r="CV971" s="52"/>
      <c r="CW971" s="52"/>
      <c r="CX971" s="52"/>
      <c r="CY971" s="52"/>
      <c r="CZ971" s="52"/>
      <c r="DA971" s="52"/>
      <c r="DB971" s="52"/>
    </row>
    <row r="972" spans="1:106" ht="12.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211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52"/>
      <c r="CU972" s="58"/>
      <c r="CV972" s="52"/>
      <c r="CW972" s="52"/>
      <c r="CX972" s="52"/>
      <c r="CY972" s="52"/>
      <c r="CZ972" s="52"/>
      <c r="DA972" s="52"/>
      <c r="DB972" s="52"/>
    </row>
    <row r="973" spans="1:106" ht="12.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211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52"/>
      <c r="CU973" s="58"/>
      <c r="CV973" s="52"/>
      <c r="CW973" s="52"/>
      <c r="CX973" s="52"/>
      <c r="CY973" s="52"/>
      <c r="CZ973" s="52"/>
      <c r="DA973" s="52"/>
      <c r="DB973" s="52"/>
    </row>
    <row r="974" spans="1:106" ht="12.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211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8"/>
      <c r="CV974" s="52"/>
      <c r="CW974" s="52"/>
      <c r="CX974" s="52"/>
      <c r="CY974" s="52"/>
      <c r="CZ974" s="52"/>
      <c r="DA974" s="52"/>
      <c r="DB974" s="52"/>
    </row>
    <row r="975" spans="1:106" ht="12.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211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52"/>
      <c r="CU975" s="58"/>
      <c r="CV975" s="52"/>
      <c r="CW975" s="52"/>
      <c r="CX975" s="52"/>
      <c r="CY975" s="52"/>
      <c r="CZ975" s="52"/>
      <c r="DA975" s="52"/>
      <c r="DB975" s="52"/>
    </row>
    <row r="976" spans="1:106" ht="12.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211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52"/>
      <c r="CU976" s="58"/>
      <c r="CV976" s="52"/>
      <c r="CW976" s="52"/>
      <c r="CX976" s="52"/>
      <c r="CY976" s="52"/>
      <c r="CZ976" s="52"/>
      <c r="DA976" s="52"/>
      <c r="DB976" s="52"/>
    </row>
    <row r="977" spans="1:106" ht="12.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211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8"/>
      <c r="CV977" s="52"/>
      <c r="CW977" s="52"/>
      <c r="CX977" s="52"/>
      <c r="CY977" s="52"/>
      <c r="CZ977" s="52"/>
      <c r="DA977" s="52"/>
      <c r="DB977" s="52"/>
    </row>
    <row r="978" spans="1:106" ht="12.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211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52"/>
      <c r="CU978" s="58"/>
      <c r="CV978" s="52"/>
      <c r="CW978" s="52"/>
      <c r="CX978" s="52"/>
      <c r="CY978" s="52"/>
      <c r="CZ978" s="52"/>
      <c r="DA978" s="52"/>
      <c r="DB978" s="52"/>
    </row>
    <row r="979" spans="1:106" ht="12.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211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52"/>
      <c r="CU979" s="58"/>
      <c r="CV979" s="52"/>
      <c r="CW979" s="52"/>
      <c r="CX979" s="52"/>
      <c r="CY979" s="52"/>
      <c r="CZ979" s="52"/>
      <c r="DA979" s="52"/>
      <c r="DB979" s="52"/>
    </row>
    <row r="980" spans="1:106" ht="12.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211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8"/>
      <c r="CV980" s="52"/>
      <c r="CW980" s="52"/>
      <c r="CX980" s="52"/>
      <c r="CY980" s="52"/>
      <c r="CZ980" s="52"/>
      <c r="DA980" s="52"/>
      <c r="DB980" s="52"/>
    </row>
    <row r="981" spans="1:106" ht="12.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211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  <c r="CS981" s="52"/>
      <c r="CT981" s="52"/>
      <c r="CU981" s="58"/>
      <c r="CV981" s="52"/>
      <c r="CW981" s="52"/>
      <c r="CX981" s="52"/>
      <c r="CY981" s="52"/>
      <c r="CZ981" s="52"/>
      <c r="DA981" s="52"/>
      <c r="DB981" s="52"/>
    </row>
    <row r="982" spans="1:106" ht="12.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211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  <c r="CS982" s="52"/>
      <c r="CT982" s="52"/>
      <c r="CU982" s="58"/>
      <c r="CV982" s="52"/>
      <c r="CW982" s="52"/>
      <c r="CX982" s="52"/>
      <c r="CY982" s="52"/>
      <c r="CZ982" s="52"/>
      <c r="DA982" s="52"/>
      <c r="DB982" s="52"/>
    </row>
    <row r="983" spans="1:106" ht="12.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211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8"/>
      <c r="CV983" s="52"/>
      <c r="CW983" s="52"/>
      <c r="CX983" s="52"/>
      <c r="CY983" s="52"/>
      <c r="CZ983" s="52"/>
      <c r="DA983" s="52"/>
      <c r="DB983" s="52"/>
    </row>
    <row r="984" spans="1:106" ht="12.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211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2"/>
      <c r="CQ984" s="52"/>
      <c r="CR984" s="52"/>
      <c r="CS984" s="52"/>
      <c r="CT984" s="52"/>
      <c r="CU984" s="58"/>
      <c r="CV984" s="52"/>
      <c r="CW984" s="52"/>
      <c r="CX984" s="52"/>
      <c r="CY984" s="52"/>
      <c r="CZ984" s="52"/>
      <c r="DA984" s="52"/>
      <c r="DB984" s="52"/>
    </row>
    <row r="985" spans="1:106" ht="12.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211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2"/>
      <c r="CQ985" s="52"/>
      <c r="CR985" s="52"/>
      <c r="CS985" s="52"/>
      <c r="CT985" s="52"/>
      <c r="CU985" s="58"/>
      <c r="CV985" s="52"/>
      <c r="CW985" s="52"/>
      <c r="CX985" s="52"/>
      <c r="CY985" s="52"/>
      <c r="CZ985" s="52"/>
      <c r="DA985" s="52"/>
      <c r="DB985" s="52"/>
    </row>
    <row r="986" spans="1:106" ht="12.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211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  <c r="CS986" s="52"/>
      <c r="CT986" s="52"/>
      <c r="CU986" s="58"/>
      <c r="CV986" s="52"/>
      <c r="CW986" s="52"/>
      <c r="CX986" s="52"/>
      <c r="CY986" s="52"/>
      <c r="CZ986" s="52"/>
      <c r="DA986" s="52"/>
      <c r="DB986" s="52"/>
    </row>
    <row r="987" spans="1:106" ht="12.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211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2"/>
      <c r="CQ987" s="52"/>
      <c r="CR987" s="52"/>
      <c r="CS987" s="52"/>
      <c r="CT987" s="52"/>
      <c r="CU987" s="58"/>
      <c r="CV987" s="52"/>
      <c r="CW987" s="52"/>
      <c r="CX987" s="52"/>
      <c r="CY987" s="52"/>
      <c r="CZ987" s="52"/>
      <c r="DA987" s="52"/>
      <c r="DB987" s="52"/>
    </row>
    <row r="988" spans="1:106" ht="12.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211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2"/>
      <c r="CQ988" s="52"/>
      <c r="CR988" s="52"/>
      <c r="CS988" s="52"/>
      <c r="CT988" s="52"/>
      <c r="CU988" s="58"/>
      <c r="CV988" s="52"/>
      <c r="CW988" s="52"/>
      <c r="CX988" s="52"/>
      <c r="CY988" s="52"/>
      <c r="CZ988" s="52"/>
      <c r="DA988" s="52"/>
      <c r="DB988" s="52"/>
    </row>
    <row r="989" spans="1:106" ht="12.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211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  <c r="CS989" s="52"/>
      <c r="CT989" s="52"/>
      <c r="CU989" s="58"/>
      <c r="CV989" s="52"/>
      <c r="CW989" s="52"/>
      <c r="CX989" s="52"/>
      <c r="CY989" s="52"/>
      <c r="CZ989" s="52"/>
      <c r="DA989" s="52"/>
      <c r="DB989" s="52"/>
    </row>
    <row r="990" spans="1:106" ht="12.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211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2"/>
      <c r="CQ990" s="52"/>
      <c r="CR990" s="52"/>
      <c r="CS990" s="52"/>
      <c r="CT990" s="52"/>
      <c r="CU990" s="58"/>
      <c r="CV990" s="52"/>
      <c r="CW990" s="52"/>
      <c r="CX990" s="52"/>
      <c r="CY990" s="52"/>
      <c r="CZ990" s="52"/>
      <c r="DA990" s="52"/>
      <c r="DB990" s="52"/>
    </row>
    <row r="991" spans="1:106" ht="12.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211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2"/>
      <c r="CQ991" s="52"/>
      <c r="CR991" s="52"/>
      <c r="CS991" s="52"/>
      <c r="CT991" s="52"/>
      <c r="CU991" s="58"/>
      <c r="CV991" s="52"/>
      <c r="CW991" s="52"/>
      <c r="CX991" s="52"/>
      <c r="CY991" s="52"/>
      <c r="CZ991" s="52"/>
      <c r="DA991" s="52"/>
      <c r="DB991" s="52"/>
    </row>
    <row r="992" spans="1:106" ht="12.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211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  <c r="CS992" s="52"/>
      <c r="CT992" s="52"/>
      <c r="CU992" s="58"/>
      <c r="CV992" s="52"/>
      <c r="CW992" s="52"/>
      <c r="CX992" s="52"/>
      <c r="CY992" s="52"/>
      <c r="CZ992" s="52"/>
      <c r="DA992" s="52"/>
      <c r="DB992" s="52"/>
    </row>
    <row r="993" spans="1:106" ht="12.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211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2"/>
      <c r="CQ993" s="52"/>
      <c r="CR993" s="52"/>
      <c r="CS993" s="52"/>
      <c r="CT993" s="52"/>
      <c r="CU993" s="58"/>
      <c r="CV993" s="52"/>
      <c r="CW993" s="52"/>
      <c r="CX993" s="52"/>
      <c r="CY993" s="52"/>
      <c r="CZ993" s="52"/>
      <c r="DA993" s="52"/>
      <c r="DB993" s="52"/>
    </row>
    <row r="994" spans="1:106" ht="12.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211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  <c r="CS994" s="52"/>
      <c r="CT994" s="52"/>
      <c r="CU994" s="58"/>
      <c r="CV994" s="52"/>
      <c r="CW994" s="52"/>
      <c r="CX994" s="52"/>
      <c r="CY994" s="52"/>
      <c r="CZ994" s="52"/>
      <c r="DA994" s="52"/>
      <c r="DB994" s="52"/>
    </row>
    <row r="995" spans="1:106" ht="12.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211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8"/>
      <c r="CV995" s="52"/>
      <c r="CW995" s="52"/>
      <c r="CX995" s="52"/>
      <c r="CY995" s="52"/>
      <c r="CZ995" s="52"/>
      <c r="DA995" s="52"/>
      <c r="DB995" s="52"/>
    </row>
    <row r="996" spans="1:106" ht="12.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211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2"/>
      <c r="CQ996" s="52"/>
      <c r="CR996" s="52"/>
      <c r="CS996" s="52"/>
      <c r="CT996" s="52"/>
      <c r="CU996" s="58"/>
      <c r="CV996" s="52"/>
      <c r="CW996" s="52"/>
      <c r="CX996" s="52"/>
      <c r="CY996" s="52"/>
      <c r="CZ996" s="52"/>
      <c r="DA996" s="52"/>
      <c r="DB996" s="52"/>
    </row>
    <row r="997" spans="1:106" ht="12.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211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2"/>
      <c r="CQ997" s="52"/>
      <c r="CR997" s="52"/>
      <c r="CS997" s="52"/>
      <c r="CT997" s="52"/>
      <c r="CU997" s="58"/>
      <c r="CV997" s="52"/>
      <c r="CW997" s="52"/>
      <c r="CX997" s="52"/>
      <c r="CY997" s="52"/>
      <c r="CZ997" s="52"/>
      <c r="DA997" s="52"/>
      <c r="DB997" s="52"/>
    </row>
    <row r="998" spans="1:106" ht="12.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211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  <c r="CS998" s="52"/>
      <c r="CT998" s="52"/>
      <c r="CU998" s="58"/>
      <c r="CV998" s="52"/>
      <c r="CW998" s="52"/>
      <c r="CX998" s="52"/>
      <c r="CY998" s="52"/>
      <c r="CZ998" s="52"/>
      <c r="DA998" s="52"/>
      <c r="DB998" s="52"/>
    </row>
    <row r="999" spans="1:106" ht="12.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211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2"/>
      <c r="CQ999" s="52"/>
      <c r="CR999" s="52"/>
      <c r="CS999" s="52"/>
      <c r="CT999" s="52"/>
      <c r="CU999" s="58"/>
      <c r="CV999" s="52"/>
      <c r="CW999" s="52"/>
      <c r="CX999" s="52"/>
      <c r="CY999" s="52"/>
      <c r="CZ999" s="52"/>
      <c r="DA999" s="52"/>
      <c r="DB999" s="52"/>
    </row>
    <row r="1000" spans="1:106" ht="12.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211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2"/>
      <c r="CQ1000" s="52"/>
      <c r="CR1000" s="52"/>
      <c r="CS1000" s="52"/>
      <c r="CT1000" s="52"/>
      <c r="CU1000" s="58"/>
      <c r="CV1000" s="52"/>
      <c r="CW1000" s="52"/>
      <c r="CX1000" s="52"/>
      <c r="CY1000" s="52"/>
      <c r="CZ1000" s="52"/>
      <c r="DA1000" s="52"/>
      <c r="DB1000" s="52"/>
    </row>
    <row r="1001" spans="1:106" ht="12.5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211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  <c r="CS1001" s="52"/>
      <c r="CT1001" s="52"/>
      <c r="CU1001" s="58"/>
      <c r="CV1001" s="52"/>
      <c r="CW1001" s="52"/>
      <c r="CX1001" s="52"/>
      <c r="CY1001" s="52"/>
      <c r="CZ1001" s="52"/>
      <c r="DA1001" s="52"/>
      <c r="DB1001" s="52"/>
    </row>
    <row r="1002" spans="1:106" ht="12.5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211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2"/>
      <c r="CQ1002" s="52"/>
      <c r="CR1002" s="52"/>
      <c r="CS1002" s="52"/>
      <c r="CT1002" s="52"/>
      <c r="CU1002" s="58"/>
      <c r="CV1002" s="52"/>
      <c r="CW1002" s="52"/>
      <c r="CX1002" s="52"/>
      <c r="CY1002" s="52"/>
      <c r="CZ1002" s="52"/>
      <c r="DA1002" s="52"/>
      <c r="DB1002" s="52"/>
    </row>
    <row r="1003" spans="1:106" ht="12.5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211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2"/>
      <c r="CQ1003" s="52"/>
      <c r="CR1003" s="52"/>
      <c r="CS1003" s="52"/>
      <c r="CT1003" s="52"/>
      <c r="CU1003" s="58"/>
      <c r="CV1003" s="52"/>
      <c r="CW1003" s="52"/>
      <c r="CX1003" s="52"/>
      <c r="CY1003" s="52"/>
      <c r="CZ1003" s="52"/>
      <c r="DA1003" s="52"/>
      <c r="DB1003" s="52"/>
    </row>
    <row r="1004" spans="1:106" ht="12.5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211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  <c r="CS1004" s="52"/>
      <c r="CT1004" s="52"/>
      <c r="CU1004" s="58"/>
      <c r="CV1004" s="52"/>
      <c r="CW1004" s="52"/>
      <c r="CX1004" s="52"/>
      <c r="CY1004" s="52"/>
      <c r="CZ1004" s="52"/>
      <c r="DA1004" s="52"/>
      <c r="DB1004" s="52"/>
    </row>
    <row r="1005" spans="1:106" ht="12.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211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2"/>
      <c r="CQ1005" s="52"/>
      <c r="CR1005" s="52"/>
      <c r="CS1005" s="52"/>
      <c r="CT1005" s="52"/>
      <c r="CU1005" s="58"/>
      <c r="CV1005" s="52"/>
      <c r="CW1005" s="52"/>
      <c r="CX1005" s="52"/>
      <c r="CY1005" s="52"/>
      <c r="CZ1005" s="52"/>
      <c r="DA1005" s="52"/>
      <c r="DB1005" s="52"/>
    </row>
    <row r="1006" spans="1:106" ht="12.5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211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2"/>
      <c r="CQ1006" s="52"/>
      <c r="CR1006" s="52"/>
      <c r="CS1006" s="52"/>
      <c r="CT1006" s="52"/>
      <c r="CU1006" s="58"/>
      <c r="CV1006" s="52"/>
      <c r="CW1006" s="52"/>
      <c r="CX1006" s="52"/>
      <c r="CY1006" s="52"/>
      <c r="CZ1006" s="52"/>
      <c r="DA1006" s="52"/>
      <c r="DB1006" s="52"/>
    </row>
    <row r="1007" spans="1:106" ht="12.5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211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52"/>
      <c r="CU1007" s="58"/>
      <c r="CV1007" s="52"/>
      <c r="CW1007" s="52"/>
      <c r="CX1007" s="52"/>
      <c r="CY1007" s="52"/>
      <c r="CZ1007" s="52"/>
      <c r="DA1007" s="52"/>
      <c r="DB1007" s="52"/>
    </row>
    <row r="1008" spans="1:106" ht="12.5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211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52"/>
      <c r="BY1008" s="52"/>
      <c r="BZ1008" s="52"/>
      <c r="CA1008" s="52"/>
      <c r="CB1008" s="52"/>
      <c r="CC1008" s="52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2"/>
      <c r="CQ1008" s="52"/>
      <c r="CR1008" s="52"/>
      <c r="CS1008" s="52"/>
      <c r="CT1008" s="52"/>
      <c r="CU1008" s="58"/>
      <c r="CV1008" s="52"/>
      <c r="CW1008" s="52"/>
      <c r="CX1008" s="52"/>
      <c r="CY1008" s="52"/>
      <c r="CZ1008" s="52"/>
      <c r="DA1008" s="52"/>
      <c r="DB1008" s="52"/>
    </row>
    <row r="1009" spans="1:106" ht="12.5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211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  <c r="CS1009" s="52"/>
      <c r="CT1009" s="52"/>
      <c r="CU1009" s="58"/>
      <c r="CV1009" s="52"/>
      <c r="CW1009" s="52"/>
      <c r="CX1009" s="52"/>
      <c r="CY1009" s="52"/>
      <c r="CZ1009" s="52"/>
      <c r="DA1009" s="52"/>
      <c r="DB1009" s="52"/>
    </row>
    <row r="1010" spans="1:106" ht="12.5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211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52"/>
      <c r="CU1010" s="58"/>
      <c r="CV1010" s="52"/>
      <c r="CW1010" s="52"/>
      <c r="CX1010" s="52"/>
      <c r="CY1010" s="52"/>
      <c r="CZ1010" s="52"/>
      <c r="DA1010" s="52"/>
      <c r="DB1010" s="52"/>
    </row>
    <row r="1011" spans="1:106" ht="12.5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211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  <c r="CS1011" s="52"/>
      <c r="CT1011" s="52"/>
      <c r="CU1011" s="58"/>
      <c r="CV1011" s="52"/>
      <c r="CW1011" s="52"/>
      <c r="CX1011" s="52"/>
      <c r="CY1011" s="52"/>
      <c r="CZ1011" s="52"/>
      <c r="DA1011" s="52"/>
      <c r="DB1011" s="52"/>
    </row>
    <row r="1012" spans="1:106" ht="12.5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211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  <c r="CS1012" s="52"/>
      <c r="CT1012" s="52"/>
      <c r="CU1012" s="58"/>
      <c r="CV1012" s="52"/>
      <c r="CW1012" s="52"/>
      <c r="CX1012" s="52"/>
      <c r="CY1012" s="52"/>
      <c r="CZ1012" s="52"/>
      <c r="DA1012" s="52"/>
      <c r="DB1012" s="52"/>
    </row>
    <row r="1013" spans="1:106" ht="12.5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211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52"/>
      <c r="CU1013" s="58"/>
      <c r="CV1013" s="52"/>
      <c r="CW1013" s="52"/>
      <c r="CX1013" s="52"/>
      <c r="CY1013" s="52"/>
      <c r="CZ1013" s="52"/>
      <c r="DA1013" s="52"/>
      <c r="DB1013" s="52"/>
    </row>
    <row r="1014" spans="1:106" ht="12.5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211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52"/>
      <c r="BY1014" s="52"/>
      <c r="BZ1014" s="52"/>
      <c r="CA1014" s="52"/>
      <c r="CB1014" s="52"/>
      <c r="CC1014" s="52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  <c r="CS1014" s="52"/>
      <c r="CT1014" s="52"/>
      <c r="CU1014" s="58"/>
      <c r="CV1014" s="52"/>
      <c r="CW1014" s="52"/>
      <c r="CX1014" s="52"/>
      <c r="CY1014" s="52"/>
      <c r="CZ1014" s="52"/>
      <c r="DA1014" s="52"/>
      <c r="DB1014" s="52"/>
    </row>
    <row r="1015" spans="1:106" ht="12.5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211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52"/>
      <c r="CU1015" s="58"/>
      <c r="CV1015" s="52"/>
      <c r="CW1015" s="52"/>
      <c r="CX1015" s="52"/>
      <c r="CY1015" s="52"/>
      <c r="CZ1015" s="52"/>
      <c r="DA1015" s="52"/>
      <c r="DB1015" s="52"/>
    </row>
    <row r="1016" spans="1:106" ht="12.5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211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8"/>
      <c r="CV1016" s="52"/>
      <c r="CW1016" s="52"/>
      <c r="CX1016" s="52"/>
      <c r="CY1016" s="52"/>
      <c r="CZ1016" s="52"/>
      <c r="DA1016" s="52"/>
      <c r="DB1016" s="52"/>
    </row>
    <row r="1017" spans="1:106" ht="12.5">
      <c r="A1017" s="52"/>
      <c r="B1017" s="52"/>
      <c r="C1017" s="52"/>
      <c r="D1017" s="52"/>
      <c r="E1017" s="52"/>
      <c r="F1017" s="52"/>
      <c r="G1017" s="52"/>
      <c r="H1017" s="52"/>
      <c r="I1017" s="52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44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8"/>
      <c r="CV1017" s="52"/>
      <c r="CW1017" s="52"/>
      <c r="CX1017" s="52"/>
      <c r="CY1017" s="52"/>
      <c r="CZ1017" s="52"/>
      <c r="DA1017" s="52"/>
      <c r="DB1017" s="52"/>
    </row>
  </sheetData>
  <mergeCells count="59">
    <mergeCell ref="BW48:CH48"/>
    <mergeCell ref="CI48:CT48"/>
    <mergeCell ref="BW49:CH49"/>
    <mergeCell ref="CI49:CT49"/>
    <mergeCell ref="K48:M48"/>
    <mergeCell ref="K49:M49"/>
    <mergeCell ref="N49:Y49"/>
    <mergeCell ref="Z49:AK49"/>
    <mergeCell ref="BW2:CH2"/>
    <mergeCell ref="CI2:CT2"/>
    <mergeCell ref="BW44:CH44"/>
    <mergeCell ref="CI44:CT44"/>
    <mergeCell ref="K2:M2"/>
    <mergeCell ref="K44:M44"/>
    <mergeCell ref="N44:Y44"/>
    <mergeCell ref="Z44:AK44"/>
    <mergeCell ref="AL44:AX44"/>
    <mergeCell ref="AY44:BJ44"/>
    <mergeCell ref="BK44:BV44"/>
    <mergeCell ref="N2:Y2"/>
    <mergeCell ref="Z2:AK2"/>
    <mergeCell ref="AL2:AX2"/>
    <mergeCell ref="AY2:BJ2"/>
    <mergeCell ref="BK2:BV2"/>
    <mergeCell ref="AL63:AX63"/>
    <mergeCell ref="AL64:AX64"/>
    <mergeCell ref="J49:J50"/>
    <mergeCell ref="K50:M50"/>
    <mergeCell ref="N50:Y50"/>
    <mergeCell ref="Z50:AK50"/>
    <mergeCell ref="AL52:AX52"/>
    <mergeCell ref="AL53:AX53"/>
    <mergeCell ref="AL54:AX54"/>
    <mergeCell ref="AL55:AX55"/>
    <mergeCell ref="AL56:AX56"/>
    <mergeCell ref="AL60:AX60"/>
    <mergeCell ref="AL61:AX61"/>
    <mergeCell ref="AL62:AX62"/>
    <mergeCell ref="BW50:CH50"/>
    <mergeCell ref="CI50:CT50"/>
    <mergeCell ref="K47:M47"/>
    <mergeCell ref="N48:Y48"/>
    <mergeCell ref="Z48:AK48"/>
    <mergeCell ref="AL48:AX48"/>
    <mergeCell ref="AY48:BJ48"/>
    <mergeCell ref="BK48:BV48"/>
    <mergeCell ref="BK49:BV49"/>
    <mergeCell ref="N47:Y47"/>
    <mergeCell ref="Z47:AK47"/>
    <mergeCell ref="AL47:AX47"/>
    <mergeCell ref="AY47:BJ47"/>
    <mergeCell ref="BK47:BV47"/>
    <mergeCell ref="BW47:CH47"/>
    <mergeCell ref="CI47:CT47"/>
    <mergeCell ref="AL49:AX49"/>
    <mergeCell ref="AY49:BJ49"/>
    <mergeCell ref="AL50:AX50"/>
    <mergeCell ref="AY50:BJ50"/>
    <mergeCell ref="BK50:BV50"/>
  </mergeCells>
  <phoneticPr fontId="38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6"/>
  <sheetViews>
    <sheetView workbookViewId="0"/>
  </sheetViews>
  <sheetFormatPr defaultColWidth="12.6328125" defaultRowHeight="15.75" customHeight="1"/>
  <cols>
    <col min="1" max="1" width="20.6328125" customWidth="1"/>
    <col min="17" max="17" width="16.08984375" customWidth="1"/>
  </cols>
  <sheetData>
    <row r="1" spans="1:14" ht="15.75" customHeight="1">
      <c r="A1" s="212" t="s">
        <v>191</v>
      </c>
    </row>
    <row r="2" spans="1:14" ht="15.75" customHeight="1">
      <c r="A2" s="213" t="s">
        <v>192</v>
      </c>
      <c r="B2" s="213" t="s">
        <v>193</v>
      </c>
      <c r="C2" s="213" t="s">
        <v>194</v>
      </c>
      <c r="D2" s="213" t="s">
        <v>195</v>
      </c>
      <c r="E2" s="213" t="s">
        <v>196</v>
      </c>
      <c r="F2" s="213" t="s">
        <v>197</v>
      </c>
      <c r="G2" s="213" t="s">
        <v>198</v>
      </c>
      <c r="H2" s="213" t="s">
        <v>199</v>
      </c>
      <c r="I2" s="213" t="s">
        <v>200</v>
      </c>
      <c r="J2" s="213" t="s">
        <v>201</v>
      </c>
      <c r="K2" s="213" t="s">
        <v>202</v>
      </c>
      <c r="L2" s="213" t="s">
        <v>203</v>
      </c>
      <c r="M2" s="213" t="s">
        <v>204</v>
      </c>
      <c r="N2" s="213" t="s">
        <v>205</v>
      </c>
    </row>
    <row r="3" spans="1:14" ht="15.75" customHeight="1">
      <c r="A3" s="214" t="s">
        <v>206</v>
      </c>
      <c r="B3" s="215">
        <f t="shared" ref="B3:B5" si="0">SUM(C3:N3)</f>
        <v>155057165</v>
      </c>
      <c r="C3" s="215">
        <v>14912353</v>
      </c>
      <c r="D3" s="215">
        <v>14912353</v>
      </c>
      <c r="E3" s="215">
        <v>15013851</v>
      </c>
      <c r="F3" s="215">
        <v>14963102</v>
      </c>
      <c r="G3" s="215">
        <v>14963093</v>
      </c>
      <c r="H3" s="215">
        <v>9643014</v>
      </c>
      <c r="I3" s="215">
        <v>10115663</v>
      </c>
      <c r="J3" s="215">
        <v>10633820</v>
      </c>
      <c r="K3" s="215">
        <v>11491828</v>
      </c>
      <c r="L3" s="215">
        <v>11491779</v>
      </c>
      <c r="M3" s="215">
        <v>13280715</v>
      </c>
      <c r="N3" s="215">
        <v>13635594</v>
      </c>
    </row>
    <row r="4" spans="1:14" ht="15.75" customHeight="1">
      <c r="A4" s="216" t="s">
        <v>207</v>
      </c>
      <c r="B4" s="217">
        <f t="shared" si="0"/>
        <v>141270022</v>
      </c>
      <c r="C4" s="217">
        <v>14912353</v>
      </c>
      <c r="D4" s="217">
        <v>14912353</v>
      </c>
      <c r="E4" s="217">
        <v>15013851</v>
      </c>
      <c r="F4" s="217">
        <v>14963102</v>
      </c>
      <c r="G4" s="217">
        <v>14963093</v>
      </c>
      <c r="H4" s="217">
        <v>9157984</v>
      </c>
      <c r="I4" s="217">
        <v>9157984</v>
      </c>
      <c r="J4" s="217">
        <v>9157984</v>
      </c>
      <c r="K4" s="217">
        <v>9157984</v>
      </c>
      <c r="L4" s="217">
        <v>9157984</v>
      </c>
      <c r="M4" s="217">
        <v>10946920</v>
      </c>
      <c r="N4" s="217">
        <v>9768430</v>
      </c>
    </row>
    <row r="5" spans="1:14" ht="15.75" customHeight="1">
      <c r="A5" s="216" t="s">
        <v>208</v>
      </c>
      <c r="B5" s="217">
        <f t="shared" si="0"/>
        <v>13787143</v>
      </c>
      <c r="C5" s="217">
        <v>0</v>
      </c>
      <c r="D5" s="217">
        <v>0</v>
      </c>
      <c r="E5" s="217">
        <v>0</v>
      </c>
      <c r="F5" s="217">
        <v>0</v>
      </c>
      <c r="G5" s="217">
        <v>0</v>
      </c>
      <c r="H5" s="217">
        <v>485030</v>
      </c>
      <c r="I5" s="217">
        <v>957679</v>
      </c>
      <c r="J5" s="217">
        <v>1475836</v>
      </c>
      <c r="K5" s="217">
        <v>2333844</v>
      </c>
      <c r="L5" s="217">
        <v>2333795</v>
      </c>
      <c r="M5" s="217">
        <v>2333795</v>
      </c>
      <c r="N5" s="217">
        <v>3867164</v>
      </c>
    </row>
    <row r="7" spans="1:14" ht="15.75" customHeight="1">
      <c r="A7" s="212" t="s">
        <v>209</v>
      </c>
    </row>
    <row r="8" spans="1:14" ht="15.75" customHeight="1">
      <c r="A8" s="213" t="s">
        <v>192</v>
      </c>
      <c r="B8" s="213" t="s">
        <v>193</v>
      </c>
      <c r="C8" s="213" t="s">
        <v>194</v>
      </c>
      <c r="D8" s="213" t="s">
        <v>195</v>
      </c>
      <c r="E8" s="213" t="s">
        <v>196</v>
      </c>
      <c r="F8" s="213" t="s">
        <v>197</v>
      </c>
      <c r="G8" s="213" t="s">
        <v>198</v>
      </c>
      <c r="H8" s="213" t="s">
        <v>199</v>
      </c>
      <c r="I8" s="213" t="s">
        <v>200</v>
      </c>
      <c r="J8" s="213" t="s">
        <v>201</v>
      </c>
      <c r="K8" s="213" t="s">
        <v>202</v>
      </c>
      <c r="L8" s="213" t="s">
        <v>203</v>
      </c>
      <c r="M8" s="213" t="s">
        <v>204</v>
      </c>
      <c r="N8" s="213" t="s">
        <v>205</v>
      </c>
    </row>
    <row r="9" spans="1:14" ht="15.75" customHeight="1">
      <c r="A9" s="214" t="s">
        <v>206</v>
      </c>
      <c r="B9" s="215">
        <f t="shared" ref="B9:B11" si="1">SUM(C9:N9)</f>
        <v>21689889.376000002</v>
      </c>
      <c r="C9" s="215">
        <f t="shared" ref="C9:N9" si="2">SUM(C10:C11)</f>
        <v>757109.95499999996</v>
      </c>
      <c r="D9" s="215">
        <f t="shared" si="2"/>
        <v>787129.21</v>
      </c>
      <c r="E9" s="215">
        <f t="shared" si="2"/>
        <v>841345.71500000008</v>
      </c>
      <c r="F9" s="215">
        <f t="shared" si="2"/>
        <v>901507.95000000007</v>
      </c>
      <c r="G9" s="215">
        <f t="shared" si="2"/>
        <v>719502.19000000006</v>
      </c>
      <c r="H9" s="215">
        <f t="shared" si="2"/>
        <v>934206.9360000001</v>
      </c>
      <c r="I9" s="215">
        <f t="shared" si="2"/>
        <v>864271.01300000015</v>
      </c>
      <c r="J9" s="215">
        <f t="shared" si="2"/>
        <v>731347.84799999988</v>
      </c>
      <c r="K9" s="215">
        <f t="shared" si="2"/>
        <v>937020.15</v>
      </c>
      <c r="L9" s="215">
        <f t="shared" si="2"/>
        <v>877217.78399999999</v>
      </c>
      <c r="M9" s="215">
        <f t="shared" si="2"/>
        <v>12382769.332</v>
      </c>
      <c r="N9" s="215">
        <f t="shared" si="2"/>
        <v>956461.29300000018</v>
      </c>
    </row>
    <row r="10" spans="1:14" ht="15.75" customHeight="1">
      <c r="A10" s="216" t="s">
        <v>207</v>
      </c>
      <c r="B10" s="217">
        <f t="shared" si="1"/>
        <v>10255709.876</v>
      </c>
      <c r="C10" s="217">
        <f>516.27*1466.5</f>
        <v>757109.95499999996</v>
      </c>
      <c r="D10" s="217">
        <f>536.74*1466.5</f>
        <v>787129.21</v>
      </c>
      <c r="E10" s="217">
        <f>573.71*1466.5</f>
        <v>841345.71500000008</v>
      </c>
      <c r="F10" s="217">
        <f>626.7*1438.5</f>
        <v>901507.95000000007</v>
      </c>
      <c r="G10" s="217">
        <f>520.85*1381.4</f>
        <v>719502.19000000006</v>
      </c>
      <c r="H10" s="217">
        <f>688.74*1356.4</f>
        <v>934206.9360000001</v>
      </c>
      <c r="I10" s="217">
        <f>624.97*1382.9</f>
        <v>864271.01300000015</v>
      </c>
      <c r="J10" s="217">
        <f>526.68*1388.6</f>
        <v>731347.84799999988</v>
      </c>
      <c r="K10" s="217">
        <f>668.25*1402.2</f>
        <v>937020.15</v>
      </c>
      <c r="L10" s="217">
        <f>616.37*1423.2</f>
        <v>877217.78399999999</v>
      </c>
      <c r="M10" s="217">
        <f>647.59*1464.8</f>
        <v>948589.83200000005</v>
      </c>
      <c r="N10" s="217">
        <f>666.57*1434.9</f>
        <v>956461.29300000018</v>
      </c>
    </row>
    <row r="11" spans="1:14" ht="15.75" customHeight="1">
      <c r="A11" s="216" t="s">
        <v>210</v>
      </c>
      <c r="B11" s="217">
        <f t="shared" si="1"/>
        <v>11434179.5</v>
      </c>
      <c r="C11" s="217">
        <v>0</v>
      </c>
      <c r="D11" s="217">
        <v>0</v>
      </c>
      <c r="E11" s="217">
        <v>0</v>
      </c>
      <c r="F11" s="217">
        <v>0</v>
      </c>
      <c r="G11" s="217">
        <v>0</v>
      </c>
      <c r="H11" s="217">
        <v>0</v>
      </c>
      <c r="I11" s="217">
        <v>0</v>
      </c>
      <c r="J11" s="217">
        <v>0</v>
      </c>
      <c r="K11" s="217">
        <v>0</v>
      </c>
      <c r="L11" s="217">
        <v>0</v>
      </c>
      <c r="M11" s="217">
        <f>7781*1469.5</f>
        <v>11434179.5</v>
      </c>
      <c r="N11" s="217">
        <v>0</v>
      </c>
    </row>
    <row r="13" spans="1:14" ht="15.75" customHeight="1">
      <c r="A13" s="212" t="s">
        <v>211</v>
      </c>
    </row>
    <row r="14" spans="1:14" ht="15.75" customHeight="1">
      <c r="A14" s="213" t="s">
        <v>192</v>
      </c>
      <c r="B14" s="213" t="s">
        <v>193</v>
      </c>
      <c r="C14" s="213" t="s">
        <v>194</v>
      </c>
      <c r="D14" s="213" t="s">
        <v>195</v>
      </c>
      <c r="E14" s="213" t="s">
        <v>196</v>
      </c>
      <c r="F14" s="213" t="s">
        <v>197</v>
      </c>
      <c r="G14" s="213" t="s">
        <v>198</v>
      </c>
      <c r="H14" s="213" t="s">
        <v>199</v>
      </c>
      <c r="I14" s="213" t="s">
        <v>200</v>
      </c>
      <c r="J14" s="213" t="s">
        <v>201</v>
      </c>
      <c r="K14" s="213" t="s">
        <v>202</v>
      </c>
      <c r="L14" s="213" t="s">
        <v>203</v>
      </c>
      <c r="M14" s="213" t="s">
        <v>204</v>
      </c>
      <c r="N14" s="213" t="s">
        <v>205</v>
      </c>
    </row>
    <row r="15" spans="1:14" ht="15.75" customHeight="1">
      <c r="A15" s="214" t="s">
        <v>206</v>
      </c>
      <c r="B15" s="215">
        <f t="shared" ref="B15:B17" si="3">SUM(C15:N15)</f>
        <v>64328486.534000002</v>
      </c>
      <c r="C15" s="215">
        <f t="shared" ref="C15:N15" si="4">SUM(C16:C18)</f>
        <v>1484983.5</v>
      </c>
      <c r="D15" s="215">
        <f t="shared" si="4"/>
        <v>1484983.5</v>
      </c>
      <c r="E15" s="215">
        <f t="shared" si="4"/>
        <v>1484983.5</v>
      </c>
      <c r="F15" s="215">
        <f t="shared" si="4"/>
        <v>1484983.5</v>
      </c>
      <c r="G15" s="215">
        <f t="shared" si="4"/>
        <v>2512208.0807500002</v>
      </c>
      <c r="H15" s="215">
        <f t="shared" si="4"/>
        <v>7653258.6133214282</v>
      </c>
      <c r="I15" s="215">
        <f t="shared" si="4"/>
        <v>7653258.6133214282</v>
      </c>
      <c r="J15" s="215">
        <f t="shared" si="4"/>
        <v>7653258.6133214282</v>
      </c>
      <c r="K15" s="215">
        <f t="shared" si="4"/>
        <v>8229142.1533214282</v>
      </c>
      <c r="L15" s="215">
        <f t="shared" si="4"/>
        <v>8229142.1533214282</v>
      </c>
      <c r="M15" s="215">
        <f t="shared" si="4"/>
        <v>8229142.1533214282</v>
      </c>
      <c r="N15" s="215">
        <f t="shared" si="4"/>
        <v>8229142.1533214282</v>
      </c>
    </row>
    <row r="16" spans="1:14" ht="15.75" customHeight="1">
      <c r="A16" s="216" t="s">
        <v>207</v>
      </c>
      <c r="B16" s="217">
        <f t="shared" si="3"/>
        <v>17819802</v>
      </c>
      <c r="C16" s="217">
        <f t="shared" ref="C16:N16" si="5">($J$27/12*1384.6)</f>
        <v>1484983.5</v>
      </c>
      <c r="D16" s="217">
        <f t="shared" si="5"/>
        <v>1484983.5</v>
      </c>
      <c r="E16" s="217">
        <f t="shared" si="5"/>
        <v>1484983.5</v>
      </c>
      <c r="F16" s="217">
        <f t="shared" si="5"/>
        <v>1484983.5</v>
      </c>
      <c r="G16" s="217">
        <f t="shared" si="5"/>
        <v>1484983.5</v>
      </c>
      <c r="H16" s="217">
        <f t="shared" si="5"/>
        <v>1484983.5</v>
      </c>
      <c r="I16" s="217">
        <f t="shared" si="5"/>
        <v>1484983.5</v>
      </c>
      <c r="J16" s="217">
        <f t="shared" si="5"/>
        <v>1484983.5</v>
      </c>
      <c r="K16" s="217">
        <f t="shared" si="5"/>
        <v>1484983.5</v>
      </c>
      <c r="L16" s="217">
        <f t="shared" si="5"/>
        <v>1484983.5</v>
      </c>
      <c r="M16" s="217">
        <f t="shared" si="5"/>
        <v>1484983.5</v>
      </c>
      <c r="N16" s="217">
        <f t="shared" si="5"/>
        <v>1484983.5</v>
      </c>
    </row>
    <row r="17" spans="1:27" ht="15.75" customHeight="1">
      <c r="A17" s="216" t="s">
        <v>208</v>
      </c>
      <c r="B17" s="217">
        <f t="shared" si="3"/>
        <v>46508684.534000002</v>
      </c>
      <c r="C17" s="217">
        <v>0</v>
      </c>
      <c r="D17" s="217">
        <v>0</v>
      </c>
      <c r="E17" s="217">
        <v>0</v>
      </c>
      <c r="F17" s="217">
        <v>0</v>
      </c>
      <c r="G17" s="217">
        <f>($J$28/8*$E$36)</f>
        <v>1027224.5807500001</v>
      </c>
      <c r="H17" s="217">
        <f t="shared" ref="H17:J17" si="6">($J$28/8*$E$36)+(($J$29+$J$30)/7*$G$34)</f>
        <v>6168275.1133214282</v>
      </c>
      <c r="I17" s="217">
        <f t="shared" si="6"/>
        <v>6168275.1133214282</v>
      </c>
      <c r="J17" s="217">
        <f t="shared" si="6"/>
        <v>6168275.1133214282</v>
      </c>
      <c r="K17" s="217">
        <f t="shared" ref="K17:N17" si="7">($J$28/8*$E$36)+(($J$29+$J$30)/7*$G$34)+($J$31/4*$I$34)</f>
        <v>6744158.6533214282</v>
      </c>
      <c r="L17" s="217">
        <f t="shared" si="7"/>
        <v>6744158.6533214282</v>
      </c>
      <c r="M17" s="217">
        <f t="shared" si="7"/>
        <v>6744158.6533214282</v>
      </c>
      <c r="N17" s="217">
        <f t="shared" si="7"/>
        <v>6744158.6533214282</v>
      </c>
    </row>
    <row r="18" spans="1:27" ht="15.75" customHeight="1">
      <c r="G18" s="209"/>
      <c r="H18" s="209"/>
      <c r="I18" s="209"/>
      <c r="J18" s="209"/>
      <c r="K18" s="209"/>
      <c r="L18" s="209"/>
      <c r="M18" s="209"/>
      <c r="N18" s="209"/>
    </row>
    <row r="19" spans="1:27" ht="15.75" customHeight="1">
      <c r="A19" s="218" t="s">
        <v>212</v>
      </c>
    </row>
    <row r="20" spans="1:27" ht="15.75" customHeight="1">
      <c r="A20" s="213" t="s">
        <v>192</v>
      </c>
      <c r="B20" s="213" t="s">
        <v>193</v>
      </c>
      <c r="C20" s="213" t="s">
        <v>194</v>
      </c>
      <c r="D20" s="213" t="s">
        <v>195</v>
      </c>
      <c r="E20" s="213" t="s">
        <v>196</v>
      </c>
      <c r="F20" s="213" t="s">
        <v>197</v>
      </c>
      <c r="G20" s="213" t="s">
        <v>198</v>
      </c>
      <c r="H20" s="213" t="s">
        <v>199</v>
      </c>
      <c r="I20" s="213" t="s">
        <v>200</v>
      </c>
      <c r="J20" s="213" t="s">
        <v>201</v>
      </c>
      <c r="K20" s="213" t="s">
        <v>202</v>
      </c>
      <c r="L20" s="213" t="s">
        <v>203</v>
      </c>
      <c r="M20" s="213" t="s">
        <v>204</v>
      </c>
      <c r="N20" s="213" t="s">
        <v>205</v>
      </c>
    </row>
    <row r="21" spans="1:27" ht="15.75" customHeight="1">
      <c r="A21" s="219" t="s">
        <v>206</v>
      </c>
      <c r="B21" s="220">
        <f t="shared" ref="B21:B23" si="8">SUM(C21:N21)</f>
        <v>194566856.37600002</v>
      </c>
      <c r="C21" s="220">
        <f t="shared" ref="C21:N21" si="9">SUM(C22:C23)</f>
        <v>17154446.454999998</v>
      </c>
      <c r="D21" s="220">
        <f t="shared" si="9"/>
        <v>17184465.710000001</v>
      </c>
      <c r="E21" s="220">
        <f t="shared" si="9"/>
        <v>17340180.215</v>
      </c>
      <c r="F21" s="220">
        <f t="shared" si="9"/>
        <v>17349593.449999999</v>
      </c>
      <c r="G21" s="220">
        <f t="shared" si="9"/>
        <v>17167578.689999998</v>
      </c>
      <c r="H21" s="220">
        <f t="shared" si="9"/>
        <v>12062204.436000001</v>
      </c>
      <c r="I21" s="220">
        <f t="shared" si="9"/>
        <v>12464917.513</v>
      </c>
      <c r="J21" s="220">
        <f t="shared" si="9"/>
        <v>12850151.347999999</v>
      </c>
      <c r="K21" s="220">
        <f t="shared" si="9"/>
        <v>13913831.65</v>
      </c>
      <c r="L21" s="220">
        <f t="shared" si="9"/>
        <v>13853980.284</v>
      </c>
      <c r="M21" s="220">
        <f t="shared" si="9"/>
        <v>27148467.832000002</v>
      </c>
      <c r="N21" s="220">
        <f t="shared" si="9"/>
        <v>16077038.793</v>
      </c>
    </row>
    <row r="22" spans="1:27" ht="15.75" customHeight="1">
      <c r="A22" s="216" t="s">
        <v>213</v>
      </c>
      <c r="B22" s="217">
        <f t="shared" si="8"/>
        <v>169345533.87600002</v>
      </c>
      <c r="C22" s="217">
        <f t="shared" ref="C22:N22" si="10">C4+C10+C16</f>
        <v>17154446.454999998</v>
      </c>
      <c r="D22" s="217">
        <f t="shared" si="10"/>
        <v>17184465.710000001</v>
      </c>
      <c r="E22" s="217">
        <f t="shared" si="10"/>
        <v>17340180.215</v>
      </c>
      <c r="F22" s="217">
        <f t="shared" si="10"/>
        <v>17349593.449999999</v>
      </c>
      <c r="G22" s="217">
        <f t="shared" si="10"/>
        <v>17167578.689999998</v>
      </c>
      <c r="H22" s="217">
        <f t="shared" si="10"/>
        <v>11577174.436000001</v>
      </c>
      <c r="I22" s="217">
        <f t="shared" si="10"/>
        <v>11507238.513</v>
      </c>
      <c r="J22" s="217">
        <f t="shared" si="10"/>
        <v>11374315.347999999</v>
      </c>
      <c r="K22" s="217">
        <f t="shared" si="10"/>
        <v>11579987.65</v>
      </c>
      <c r="L22" s="217">
        <f t="shared" si="10"/>
        <v>11520185.284</v>
      </c>
      <c r="M22" s="217">
        <f t="shared" si="10"/>
        <v>13380493.332</v>
      </c>
      <c r="N22" s="217">
        <f t="shared" si="10"/>
        <v>12209874.793</v>
      </c>
    </row>
    <row r="23" spans="1:27" ht="15.75" customHeight="1">
      <c r="A23" s="216" t="s">
        <v>210</v>
      </c>
      <c r="B23" s="217">
        <f t="shared" si="8"/>
        <v>25221322.5</v>
      </c>
      <c r="C23" s="217">
        <f t="shared" ref="C23:N23" si="11">C5+C11+C18</f>
        <v>0</v>
      </c>
      <c r="D23" s="217">
        <f t="shared" si="11"/>
        <v>0</v>
      </c>
      <c r="E23" s="217">
        <f t="shared" si="11"/>
        <v>0</v>
      </c>
      <c r="F23" s="217">
        <f t="shared" si="11"/>
        <v>0</v>
      </c>
      <c r="G23" s="217">
        <f t="shared" si="11"/>
        <v>0</v>
      </c>
      <c r="H23" s="217">
        <f t="shared" si="11"/>
        <v>485030</v>
      </c>
      <c r="I23" s="217">
        <f t="shared" si="11"/>
        <v>957679</v>
      </c>
      <c r="J23" s="217">
        <f t="shared" si="11"/>
        <v>1475836</v>
      </c>
      <c r="K23" s="217">
        <f t="shared" si="11"/>
        <v>2333844</v>
      </c>
      <c r="L23" s="217">
        <f t="shared" si="11"/>
        <v>2333795</v>
      </c>
      <c r="M23" s="217">
        <f t="shared" si="11"/>
        <v>13767974.5</v>
      </c>
      <c r="N23" s="217">
        <f t="shared" si="11"/>
        <v>3867164</v>
      </c>
    </row>
    <row r="26" spans="1:27" ht="15.75" customHeight="1">
      <c r="A26" s="221" t="s">
        <v>214</v>
      </c>
      <c r="B26" s="222" t="s">
        <v>215</v>
      </c>
      <c r="C26" s="222" t="s">
        <v>216</v>
      </c>
      <c r="D26" s="222" t="s">
        <v>217</v>
      </c>
      <c r="E26" s="222" t="s">
        <v>218</v>
      </c>
      <c r="F26" s="222" t="s">
        <v>219</v>
      </c>
      <c r="G26" s="222" t="s">
        <v>220</v>
      </c>
      <c r="H26" s="222" t="s">
        <v>221</v>
      </c>
      <c r="I26" s="223" t="s">
        <v>222</v>
      </c>
      <c r="J26" s="224" t="s">
        <v>223</v>
      </c>
      <c r="K26" s="222" t="s">
        <v>224</v>
      </c>
      <c r="L26" s="225"/>
      <c r="M26" s="226" t="s">
        <v>225</v>
      </c>
      <c r="N26" s="222" t="s">
        <v>226</v>
      </c>
      <c r="O26" s="222" t="s">
        <v>227</v>
      </c>
      <c r="P26" s="222" t="s">
        <v>13</v>
      </c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</row>
    <row r="27" spans="1:27" ht="15.75" customHeight="1">
      <c r="A27" s="227" t="s">
        <v>228</v>
      </c>
      <c r="B27" s="228" t="s">
        <v>125</v>
      </c>
      <c r="C27" s="228" t="s">
        <v>229</v>
      </c>
      <c r="D27" s="229" t="s">
        <v>230</v>
      </c>
      <c r="E27" s="229"/>
      <c r="F27" s="230">
        <v>7507</v>
      </c>
      <c r="G27" s="230">
        <v>12870</v>
      </c>
      <c r="H27" s="230">
        <v>12870</v>
      </c>
      <c r="I27" s="231">
        <v>12870</v>
      </c>
      <c r="J27" s="232">
        <v>12870</v>
      </c>
      <c r="K27" s="233">
        <v>5363</v>
      </c>
      <c r="L27" s="234"/>
      <c r="M27" s="235">
        <v>64350</v>
      </c>
      <c r="N27" s="236">
        <v>45504</v>
      </c>
      <c r="O27" s="237" t="s">
        <v>231</v>
      </c>
      <c r="P27" s="238" t="s">
        <v>232</v>
      </c>
      <c r="Q27" s="284"/>
      <c r="R27" s="267"/>
      <c r="S27" s="240"/>
      <c r="T27" s="240"/>
      <c r="U27" s="240"/>
      <c r="V27" s="240"/>
      <c r="W27" s="240"/>
      <c r="X27" s="240"/>
      <c r="Y27" s="240"/>
      <c r="Z27" s="240"/>
      <c r="AA27" s="240"/>
    </row>
    <row r="28" spans="1:27" ht="15.75" customHeight="1">
      <c r="A28" s="285" t="s">
        <v>233</v>
      </c>
      <c r="B28" s="228" t="s">
        <v>125</v>
      </c>
      <c r="C28" s="241" t="s">
        <v>234</v>
      </c>
      <c r="D28" s="242" t="s">
        <v>235</v>
      </c>
      <c r="E28" s="229"/>
      <c r="F28" s="243"/>
      <c r="G28" s="244">
        <v>2974.44</v>
      </c>
      <c r="H28" s="244">
        <v>8923.33</v>
      </c>
      <c r="I28" s="245">
        <v>8923.33</v>
      </c>
      <c r="J28" s="246">
        <v>5948.89</v>
      </c>
      <c r="K28" s="247"/>
      <c r="L28" s="234"/>
      <c r="M28" s="248">
        <v>26770</v>
      </c>
      <c r="N28" s="236">
        <v>45778</v>
      </c>
      <c r="O28" s="236">
        <v>46900</v>
      </c>
      <c r="P28" s="238" t="s">
        <v>236</v>
      </c>
      <c r="Q28" s="239"/>
      <c r="R28" s="240"/>
      <c r="S28" s="240"/>
      <c r="T28" s="240"/>
      <c r="U28" s="240"/>
      <c r="V28" s="240"/>
      <c r="W28" s="240"/>
      <c r="X28" s="240"/>
      <c r="Y28" s="240"/>
      <c r="Z28" s="240"/>
      <c r="AA28" s="240"/>
    </row>
    <row r="29" spans="1:27" ht="15.75" customHeight="1">
      <c r="A29" s="286"/>
      <c r="B29" s="228" t="s">
        <v>125</v>
      </c>
      <c r="C29" s="241" t="s">
        <v>237</v>
      </c>
      <c r="D29" s="238" t="s">
        <v>238</v>
      </c>
      <c r="E29" s="238"/>
      <c r="F29" s="243"/>
      <c r="G29" s="244">
        <v>11618.75</v>
      </c>
      <c r="H29" s="244">
        <v>27885</v>
      </c>
      <c r="I29" s="245">
        <v>27885</v>
      </c>
      <c r="J29" s="246">
        <v>16266.25</v>
      </c>
      <c r="K29" s="247"/>
      <c r="L29" s="234"/>
      <c r="M29" s="235">
        <v>83655</v>
      </c>
      <c r="N29" s="236">
        <v>45834</v>
      </c>
      <c r="O29" s="236">
        <v>46899</v>
      </c>
      <c r="P29" s="238" t="s">
        <v>239</v>
      </c>
      <c r="Q29" s="284"/>
      <c r="R29" s="267"/>
      <c r="S29" s="240"/>
      <c r="T29" s="240"/>
      <c r="U29" s="240"/>
      <c r="V29" s="240"/>
      <c r="W29" s="240"/>
      <c r="X29" s="240"/>
      <c r="Y29" s="240"/>
      <c r="Z29" s="240"/>
      <c r="AA29" s="240"/>
    </row>
    <row r="30" spans="1:27" ht="15.75" customHeight="1">
      <c r="A30" s="279"/>
      <c r="B30" s="228" t="s">
        <v>125</v>
      </c>
      <c r="C30" s="241" t="s">
        <v>240</v>
      </c>
      <c r="D30" s="238" t="s">
        <v>238</v>
      </c>
      <c r="E30" s="244">
        <v>7332.33</v>
      </c>
      <c r="F30" s="244">
        <v>17597.599999999999</v>
      </c>
      <c r="G30" s="244">
        <v>17597.599999999999</v>
      </c>
      <c r="H30" s="244">
        <v>17597.599999999999</v>
      </c>
      <c r="I30" s="245">
        <v>17597.599999999999</v>
      </c>
      <c r="J30" s="246">
        <v>10265.27</v>
      </c>
      <c r="K30" s="247"/>
      <c r="L30" s="234"/>
      <c r="M30" s="235">
        <v>87988</v>
      </c>
      <c r="N30" s="236">
        <v>45834</v>
      </c>
      <c r="O30" s="236">
        <v>47629</v>
      </c>
      <c r="P30" s="238" t="s">
        <v>241</v>
      </c>
      <c r="Q30" s="284"/>
      <c r="R30" s="267"/>
      <c r="S30" s="240"/>
      <c r="T30" s="240"/>
      <c r="U30" s="240"/>
      <c r="V30" s="240"/>
      <c r="W30" s="240"/>
      <c r="X30" s="240"/>
      <c r="Y30" s="240"/>
      <c r="Z30" s="240"/>
      <c r="AA30" s="240"/>
    </row>
    <row r="31" spans="1:27" ht="15.75" customHeight="1">
      <c r="A31" s="227" t="s">
        <v>228</v>
      </c>
      <c r="B31" s="228" t="s">
        <v>125</v>
      </c>
      <c r="C31" s="241" t="s">
        <v>242</v>
      </c>
      <c r="D31" s="238" t="s">
        <v>238</v>
      </c>
      <c r="E31" s="244">
        <v>3285.6</v>
      </c>
      <c r="F31" s="244">
        <v>4928.3999999999996</v>
      </c>
      <c r="G31" s="244">
        <v>4928.3999999999996</v>
      </c>
      <c r="H31" s="244">
        <v>4928.3999999999996</v>
      </c>
      <c r="I31" s="245">
        <v>4928.3999999999996</v>
      </c>
      <c r="J31" s="249">
        <v>1642.8</v>
      </c>
      <c r="K31" s="247"/>
      <c r="L31" s="234"/>
      <c r="M31" s="248">
        <v>24642</v>
      </c>
      <c r="N31" s="236">
        <v>45922</v>
      </c>
      <c r="O31" s="237" t="s">
        <v>243</v>
      </c>
      <c r="P31" s="238" t="s">
        <v>241</v>
      </c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</row>
    <row r="34" spans="1:11" ht="15.75" customHeight="1">
      <c r="A34" s="287" t="s">
        <v>69</v>
      </c>
      <c r="B34" s="250">
        <v>45657</v>
      </c>
      <c r="C34" s="251">
        <v>1470</v>
      </c>
      <c r="D34" s="250">
        <v>45747</v>
      </c>
      <c r="E34" s="251">
        <v>1466.5</v>
      </c>
      <c r="F34" s="250">
        <v>45838</v>
      </c>
      <c r="G34" s="251">
        <v>1356.4</v>
      </c>
      <c r="H34" s="250">
        <v>45930</v>
      </c>
      <c r="I34" s="251">
        <v>1402.2</v>
      </c>
      <c r="J34" s="250">
        <v>46022</v>
      </c>
      <c r="K34" s="251">
        <v>1434.9</v>
      </c>
    </row>
    <row r="35" spans="1:11" ht="15.75" customHeight="1">
      <c r="A35" s="286"/>
      <c r="B35" s="250">
        <v>45688</v>
      </c>
      <c r="C35" s="251">
        <v>1433.3</v>
      </c>
      <c r="D35" s="250">
        <v>45777</v>
      </c>
      <c r="E35" s="251">
        <v>1438.5</v>
      </c>
      <c r="F35" s="250">
        <v>45869</v>
      </c>
      <c r="G35" s="251">
        <v>1382.9</v>
      </c>
      <c r="H35" s="250">
        <v>45961</v>
      </c>
      <c r="I35" s="251">
        <v>1423.2</v>
      </c>
      <c r="J35" s="240"/>
      <c r="K35" s="240"/>
    </row>
    <row r="36" spans="1:11" ht="15.75" customHeight="1">
      <c r="A36" s="279"/>
      <c r="B36" s="250">
        <v>45716</v>
      </c>
      <c r="C36" s="251">
        <v>1439.6</v>
      </c>
      <c r="D36" s="250">
        <v>45808</v>
      </c>
      <c r="E36" s="251">
        <v>1381.4</v>
      </c>
      <c r="F36" s="250">
        <v>45900</v>
      </c>
      <c r="G36" s="251">
        <v>1388.6</v>
      </c>
      <c r="H36" s="250">
        <v>45991</v>
      </c>
      <c r="I36" s="251">
        <v>1464.8</v>
      </c>
      <c r="J36" s="240"/>
      <c r="K36" s="240"/>
    </row>
  </sheetData>
  <mergeCells count="5">
    <mergeCell ref="Q27:R27"/>
    <mergeCell ref="A28:A30"/>
    <mergeCell ref="Q29:R29"/>
    <mergeCell ref="Q30:R30"/>
    <mergeCell ref="A34:A36"/>
  </mergeCells>
  <phoneticPr fontId="3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1"/>
  <sheetViews>
    <sheetView workbookViewId="0"/>
  </sheetViews>
  <sheetFormatPr defaultColWidth="12.6328125" defaultRowHeight="15.75" customHeight="1"/>
  <cols>
    <col min="1" max="1" width="16.6328125" customWidth="1"/>
    <col min="2" max="2" width="9.36328125" customWidth="1"/>
    <col min="3" max="3" width="19.08984375" customWidth="1"/>
    <col min="4" max="4" width="9.36328125" customWidth="1"/>
    <col min="5" max="5" width="20" customWidth="1"/>
    <col min="6" max="6" width="9.36328125" customWidth="1"/>
    <col min="7" max="7" width="20" customWidth="1"/>
    <col min="8" max="8" width="9.36328125" customWidth="1"/>
    <col min="9" max="9" width="20" customWidth="1"/>
    <col min="10" max="10" width="10.08984375" customWidth="1"/>
    <col min="11" max="11" width="21.90625" customWidth="1"/>
    <col min="12" max="12" width="9.36328125" customWidth="1"/>
    <col min="13" max="13" width="19.08984375" customWidth="1"/>
    <col min="14" max="14" width="9.36328125" customWidth="1"/>
    <col min="15" max="15" width="20" customWidth="1"/>
    <col min="16" max="16" width="9.36328125" customWidth="1"/>
    <col min="17" max="17" width="20" customWidth="1"/>
    <col min="18" max="18" width="9.36328125" customWidth="1"/>
    <col min="19" max="19" width="20" customWidth="1"/>
    <col min="20" max="20" width="10.08984375" customWidth="1"/>
    <col min="21" max="21" width="21.90625" customWidth="1"/>
  </cols>
  <sheetData>
    <row r="1" spans="1:26" ht="15.75" customHeight="1">
      <c r="A1" s="252" t="s">
        <v>244</v>
      </c>
      <c r="B1" s="288" t="s">
        <v>245</v>
      </c>
      <c r="C1" s="267"/>
      <c r="D1" s="288" t="s">
        <v>246</v>
      </c>
      <c r="E1" s="267"/>
      <c r="F1" s="288" t="s">
        <v>247</v>
      </c>
      <c r="G1" s="267"/>
      <c r="H1" s="288" t="s">
        <v>248</v>
      </c>
      <c r="I1" s="267"/>
      <c r="J1" s="288" t="s">
        <v>249</v>
      </c>
      <c r="K1" s="267"/>
      <c r="L1" s="288" t="s">
        <v>250</v>
      </c>
      <c r="M1" s="267"/>
      <c r="N1" s="288" t="s">
        <v>251</v>
      </c>
      <c r="O1" s="267"/>
      <c r="P1" s="288" t="s">
        <v>252</v>
      </c>
      <c r="Q1" s="267"/>
      <c r="R1" s="288" t="s">
        <v>253</v>
      </c>
      <c r="S1" s="267"/>
      <c r="T1" s="288" t="s">
        <v>254</v>
      </c>
      <c r="U1" s="267"/>
      <c r="V1" s="253"/>
      <c r="W1" s="253"/>
      <c r="X1" s="253"/>
      <c r="Y1" s="253"/>
      <c r="Z1" s="253"/>
    </row>
    <row r="2" spans="1:26" ht="15.75" customHeight="1">
      <c r="A2" s="253"/>
      <c r="B2" s="254" t="s">
        <v>255</v>
      </c>
      <c r="C2" s="254" t="s">
        <v>256</v>
      </c>
      <c r="D2" s="254" t="s">
        <v>255</v>
      </c>
      <c r="E2" s="254" t="s">
        <v>256</v>
      </c>
      <c r="F2" s="254" t="s">
        <v>255</v>
      </c>
      <c r="G2" s="254" t="s">
        <v>256</v>
      </c>
      <c r="H2" s="254" t="s">
        <v>255</v>
      </c>
      <c r="I2" s="254" t="s">
        <v>256</v>
      </c>
      <c r="J2" s="254" t="s">
        <v>255</v>
      </c>
      <c r="K2" s="254" t="s">
        <v>256</v>
      </c>
      <c r="L2" s="254" t="s">
        <v>255</v>
      </c>
      <c r="M2" s="254" t="s">
        <v>256</v>
      </c>
      <c r="N2" s="254" t="s">
        <v>255</v>
      </c>
      <c r="O2" s="254" t="s">
        <v>256</v>
      </c>
      <c r="P2" s="254" t="s">
        <v>255</v>
      </c>
      <c r="Q2" s="254" t="s">
        <v>256</v>
      </c>
      <c r="R2" s="254" t="s">
        <v>255</v>
      </c>
      <c r="S2" s="254" t="s">
        <v>256</v>
      </c>
      <c r="T2" s="254" t="s">
        <v>255</v>
      </c>
      <c r="U2" s="254" t="s">
        <v>256</v>
      </c>
      <c r="V2" s="253"/>
      <c r="W2" s="253"/>
      <c r="X2" s="253"/>
      <c r="Y2" s="253"/>
      <c r="Z2" s="253"/>
    </row>
    <row r="3" spans="1:26" ht="15.75" customHeight="1">
      <c r="A3" s="255" t="s">
        <v>257</v>
      </c>
      <c r="B3" s="256">
        <v>10</v>
      </c>
      <c r="C3" s="256">
        <v>18000</v>
      </c>
      <c r="D3" s="257">
        <v>30</v>
      </c>
      <c r="E3" s="256">
        <v>54000</v>
      </c>
      <c r="F3" s="257">
        <v>30</v>
      </c>
      <c r="G3" s="256">
        <v>54000</v>
      </c>
      <c r="H3" s="257">
        <v>30</v>
      </c>
      <c r="I3" s="256">
        <v>54000</v>
      </c>
      <c r="J3" s="257">
        <v>100</v>
      </c>
      <c r="K3" s="256">
        <v>180000</v>
      </c>
      <c r="L3" s="257">
        <v>10</v>
      </c>
      <c r="M3" s="256">
        <v>18000</v>
      </c>
      <c r="N3" s="257">
        <v>30</v>
      </c>
      <c r="O3" s="256">
        <v>54000</v>
      </c>
      <c r="P3" s="257">
        <v>30</v>
      </c>
      <c r="Q3" s="256">
        <v>54000</v>
      </c>
      <c r="R3" s="257">
        <v>30</v>
      </c>
      <c r="S3" s="256">
        <v>54000</v>
      </c>
      <c r="T3" s="257">
        <v>100</v>
      </c>
      <c r="U3" s="256">
        <v>180000</v>
      </c>
      <c r="V3" s="5"/>
      <c r="W3" s="5"/>
      <c r="X3" s="5"/>
      <c r="Y3" s="5"/>
      <c r="Z3" s="5"/>
    </row>
    <row r="4" spans="1:26" ht="15.75" customHeight="1">
      <c r="A4" s="255" t="s">
        <v>258</v>
      </c>
      <c r="B4" s="256">
        <v>10</v>
      </c>
      <c r="C4" s="256">
        <v>18000</v>
      </c>
      <c r="D4" s="257">
        <v>30</v>
      </c>
      <c r="E4" s="256">
        <v>54000</v>
      </c>
      <c r="F4" s="257">
        <v>30</v>
      </c>
      <c r="G4" s="256">
        <v>54000</v>
      </c>
      <c r="H4" s="257">
        <v>30</v>
      </c>
      <c r="I4" s="256">
        <v>54000</v>
      </c>
      <c r="J4" s="257">
        <v>100</v>
      </c>
      <c r="K4" s="256">
        <v>180000</v>
      </c>
      <c r="L4" s="257">
        <v>10</v>
      </c>
      <c r="M4" s="256">
        <v>18000</v>
      </c>
      <c r="N4" s="257">
        <v>30</v>
      </c>
      <c r="O4" s="256">
        <v>54000</v>
      </c>
      <c r="P4" s="257">
        <v>30</v>
      </c>
      <c r="Q4" s="256">
        <v>54000</v>
      </c>
      <c r="R4" s="257">
        <v>30</v>
      </c>
      <c r="S4" s="256">
        <v>54000</v>
      </c>
      <c r="T4" s="257">
        <v>100</v>
      </c>
      <c r="U4" s="256">
        <v>180000</v>
      </c>
      <c r="V4" s="5"/>
      <c r="W4" s="5"/>
      <c r="X4" s="5"/>
      <c r="Y4" s="5"/>
      <c r="Z4" s="5"/>
    </row>
    <row r="5" spans="1:26" ht="15.75" customHeight="1">
      <c r="A5" s="255" t="s">
        <v>259</v>
      </c>
      <c r="B5" s="256">
        <v>10</v>
      </c>
      <c r="C5" s="256">
        <v>36000</v>
      </c>
      <c r="D5" s="257">
        <v>30</v>
      </c>
      <c r="E5" s="256">
        <v>108000</v>
      </c>
      <c r="F5" s="257">
        <v>30</v>
      </c>
      <c r="G5" s="256">
        <v>108000</v>
      </c>
      <c r="H5" s="257">
        <v>30</v>
      </c>
      <c r="I5" s="256">
        <v>108000</v>
      </c>
      <c r="J5" s="257">
        <v>100</v>
      </c>
      <c r="K5" s="256">
        <v>360000</v>
      </c>
      <c r="L5" s="257">
        <v>10</v>
      </c>
      <c r="M5" s="256">
        <v>36000</v>
      </c>
      <c r="N5" s="257">
        <v>30</v>
      </c>
      <c r="O5" s="256">
        <v>108000</v>
      </c>
      <c r="P5" s="257">
        <v>30</v>
      </c>
      <c r="Q5" s="256">
        <v>108000</v>
      </c>
      <c r="R5" s="257">
        <v>30</v>
      </c>
      <c r="S5" s="256">
        <v>108000</v>
      </c>
      <c r="T5" s="257">
        <v>100</v>
      </c>
      <c r="U5" s="256">
        <v>360000</v>
      </c>
      <c r="V5" s="5"/>
      <c r="W5" s="5"/>
      <c r="X5" s="5"/>
      <c r="Y5" s="5"/>
      <c r="Z5" s="5"/>
    </row>
    <row r="6" spans="1:26" ht="15.75" customHeight="1">
      <c r="A6" s="255" t="s">
        <v>260</v>
      </c>
      <c r="B6" s="257">
        <v>10</v>
      </c>
      <c r="C6" s="256">
        <v>18000</v>
      </c>
      <c r="D6" s="257">
        <v>30</v>
      </c>
      <c r="E6" s="256">
        <v>54000</v>
      </c>
      <c r="F6" s="257">
        <v>30</v>
      </c>
      <c r="G6" s="256">
        <v>54000</v>
      </c>
      <c r="H6" s="257">
        <v>30</v>
      </c>
      <c r="I6" s="256">
        <v>54000</v>
      </c>
      <c r="J6" s="257">
        <v>100</v>
      </c>
      <c r="K6" s="256">
        <v>180000</v>
      </c>
      <c r="L6" s="257">
        <v>10</v>
      </c>
      <c r="M6" s="256">
        <v>18000</v>
      </c>
      <c r="N6" s="257">
        <v>30</v>
      </c>
      <c r="O6" s="256">
        <v>54000</v>
      </c>
      <c r="P6" s="257">
        <v>30</v>
      </c>
      <c r="Q6" s="256">
        <v>54000</v>
      </c>
      <c r="R6" s="257">
        <v>30</v>
      </c>
      <c r="S6" s="256">
        <v>54000</v>
      </c>
      <c r="T6" s="257">
        <v>100</v>
      </c>
      <c r="U6" s="256">
        <v>180000</v>
      </c>
      <c r="V6" s="5"/>
      <c r="W6" s="5"/>
      <c r="X6" s="5"/>
      <c r="Y6" s="5"/>
      <c r="Z6" s="5"/>
    </row>
    <row r="7" spans="1:26" ht="15.75" customHeight="1">
      <c r="A7" s="255" t="s">
        <v>261</v>
      </c>
      <c r="B7" s="257">
        <v>10</v>
      </c>
      <c r="C7" s="256">
        <v>90000</v>
      </c>
      <c r="D7" s="257">
        <v>30</v>
      </c>
      <c r="E7" s="256">
        <v>270000</v>
      </c>
      <c r="F7" s="257">
        <v>30</v>
      </c>
      <c r="G7" s="256">
        <v>270000</v>
      </c>
      <c r="H7" s="257">
        <v>30</v>
      </c>
      <c r="I7" s="256">
        <v>270000</v>
      </c>
      <c r="J7" s="257">
        <v>100</v>
      </c>
      <c r="K7" s="256">
        <v>900000</v>
      </c>
      <c r="L7" s="257">
        <v>10</v>
      </c>
      <c r="M7" s="256">
        <v>90000</v>
      </c>
      <c r="N7" s="257">
        <v>30</v>
      </c>
      <c r="O7" s="256">
        <v>270000</v>
      </c>
      <c r="P7" s="257">
        <v>30</v>
      </c>
      <c r="Q7" s="256">
        <v>270000</v>
      </c>
      <c r="R7" s="257">
        <v>30</v>
      </c>
      <c r="S7" s="256">
        <v>270000</v>
      </c>
      <c r="T7" s="257">
        <v>100</v>
      </c>
      <c r="U7" s="256">
        <v>900000</v>
      </c>
      <c r="V7" s="5"/>
      <c r="W7" s="5"/>
      <c r="X7" s="5"/>
      <c r="Y7" s="5"/>
      <c r="Z7" s="5"/>
    </row>
    <row r="8" spans="1:26" ht="15.75" customHeight="1">
      <c r="A8" s="258"/>
      <c r="B8" s="258"/>
      <c r="C8" s="258"/>
      <c r="D8" s="258"/>
      <c r="E8" s="258"/>
      <c r="F8" s="258"/>
      <c r="G8" s="258"/>
      <c r="H8" s="25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5"/>
      <c r="B9" s="5"/>
      <c r="C9" s="5"/>
      <c r="D9" s="44"/>
      <c r="E9" s="44"/>
      <c r="F9" s="44"/>
      <c r="G9" s="44"/>
      <c r="H9" s="4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255" t="s">
        <v>262</v>
      </c>
      <c r="B10" s="259">
        <v>10</v>
      </c>
      <c r="C10" s="260">
        <v>10000</v>
      </c>
      <c r="D10" s="260">
        <v>30</v>
      </c>
      <c r="E10" s="260">
        <v>30000</v>
      </c>
      <c r="F10" s="260">
        <v>30</v>
      </c>
      <c r="G10" s="260">
        <v>30000</v>
      </c>
      <c r="H10" s="260">
        <v>30</v>
      </c>
      <c r="I10" s="260">
        <v>30000</v>
      </c>
      <c r="J10" s="259">
        <v>100</v>
      </c>
      <c r="K10" s="260">
        <v>100000</v>
      </c>
      <c r="L10" s="259">
        <v>10</v>
      </c>
      <c r="M10" s="260">
        <v>10000</v>
      </c>
      <c r="N10" s="259">
        <v>30</v>
      </c>
      <c r="O10" s="260">
        <v>30000</v>
      </c>
      <c r="P10" s="259">
        <v>30</v>
      </c>
      <c r="Q10" s="260">
        <v>30000</v>
      </c>
      <c r="R10" s="259">
        <v>30</v>
      </c>
      <c r="S10" s="260">
        <v>30000</v>
      </c>
      <c r="T10" s="259">
        <v>100</v>
      </c>
      <c r="U10" s="260">
        <v>100000</v>
      </c>
      <c r="V10" s="5"/>
      <c r="W10" s="5"/>
      <c r="X10" s="5"/>
      <c r="Y10" s="5"/>
      <c r="Z10" s="5"/>
    </row>
    <row r="11" spans="1:26" ht="15.75" customHeight="1">
      <c r="A11" s="255" t="s">
        <v>263</v>
      </c>
      <c r="B11" s="259">
        <v>10</v>
      </c>
      <c r="C11" s="260">
        <v>10000</v>
      </c>
      <c r="D11" s="260">
        <v>30</v>
      </c>
      <c r="E11" s="260">
        <v>30000</v>
      </c>
      <c r="F11" s="260">
        <v>30</v>
      </c>
      <c r="G11" s="260">
        <v>30000</v>
      </c>
      <c r="H11" s="260">
        <v>30</v>
      </c>
      <c r="I11" s="260">
        <v>30000</v>
      </c>
      <c r="J11" s="259">
        <v>100</v>
      </c>
      <c r="K11" s="260">
        <v>100000</v>
      </c>
      <c r="L11" s="259">
        <v>10</v>
      </c>
      <c r="M11" s="260">
        <v>10000</v>
      </c>
      <c r="N11" s="259">
        <v>30</v>
      </c>
      <c r="O11" s="260">
        <v>30000</v>
      </c>
      <c r="P11" s="259">
        <v>30</v>
      </c>
      <c r="Q11" s="260">
        <v>30000</v>
      </c>
      <c r="R11" s="259">
        <v>30</v>
      </c>
      <c r="S11" s="260">
        <v>30000</v>
      </c>
      <c r="T11" s="259">
        <v>100</v>
      </c>
      <c r="U11" s="260">
        <v>100000</v>
      </c>
      <c r="V11" s="5"/>
      <c r="W11" s="5"/>
      <c r="X11" s="5"/>
      <c r="Y11" s="5"/>
      <c r="Z11" s="5"/>
    </row>
    <row r="12" spans="1:26" ht="15.75" customHeight="1">
      <c r="A12" s="255" t="s">
        <v>264</v>
      </c>
      <c r="B12" s="259">
        <v>10</v>
      </c>
      <c r="C12" s="260">
        <v>20000</v>
      </c>
      <c r="D12" s="260">
        <v>30</v>
      </c>
      <c r="E12" s="260">
        <v>60000</v>
      </c>
      <c r="F12" s="260">
        <v>30</v>
      </c>
      <c r="G12" s="260">
        <v>60000</v>
      </c>
      <c r="H12" s="260">
        <v>30</v>
      </c>
      <c r="I12" s="260">
        <v>60000</v>
      </c>
      <c r="J12" s="259">
        <v>100</v>
      </c>
      <c r="K12" s="260">
        <v>200000</v>
      </c>
      <c r="L12" s="259">
        <v>10</v>
      </c>
      <c r="M12" s="260">
        <v>20000</v>
      </c>
      <c r="N12" s="259">
        <v>30</v>
      </c>
      <c r="O12" s="260">
        <v>60000</v>
      </c>
      <c r="P12" s="259">
        <v>30</v>
      </c>
      <c r="Q12" s="260">
        <v>60000</v>
      </c>
      <c r="R12" s="259">
        <v>30</v>
      </c>
      <c r="S12" s="260">
        <v>60000</v>
      </c>
      <c r="T12" s="259">
        <v>100</v>
      </c>
      <c r="U12" s="260">
        <v>200000</v>
      </c>
      <c r="V12" s="5"/>
      <c r="W12" s="5"/>
      <c r="X12" s="5"/>
      <c r="Y12" s="5"/>
      <c r="Z12" s="5"/>
    </row>
    <row r="13" spans="1:26" ht="15.75" customHeight="1">
      <c r="A13" s="5"/>
      <c r="B13" s="5"/>
      <c r="C13" s="5"/>
      <c r="D13" s="44"/>
      <c r="E13" s="44"/>
      <c r="F13" s="44"/>
      <c r="G13" s="44"/>
      <c r="H13" s="4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"/>
      <c r="B14" s="5"/>
      <c r="C14" s="5"/>
      <c r="D14" s="44"/>
      <c r="E14" s="44"/>
      <c r="F14" s="44"/>
      <c r="G14" s="44"/>
      <c r="H14" s="4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255" t="s">
        <v>262</v>
      </c>
      <c r="B15" s="261">
        <v>10</v>
      </c>
      <c r="C15" s="262">
        <v>5000</v>
      </c>
      <c r="D15" s="262">
        <v>30</v>
      </c>
      <c r="E15" s="262">
        <v>15000</v>
      </c>
      <c r="F15" s="262">
        <v>30</v>
      </c>
      <c r="G15" s="262">
        <v>15000</v>
      </c>
      <c r="H15" s="262">
        <v>30</v>
      </c>
      <c r="I15" s="262">
        <v>15000</v>
      </c>
      <c r="J15" s="261">
        <v>100</v>
      </c>
      <c r="K15" s="262">
        <v>50000</v>
      </c>
      <c r="L15" s="261">
        <v>10</v>
      </c>
      <c r="M15" s="262">
        <v>5000</v>
      </c>
      <c r="N15" s="261">
        <v>30</v>
      </c>
      <c r="O15" s="262">
        <v>15000</v>
      </c>
      <c r="P15" s="261">
        <v>30</v>
      </c>
      <c r="Q15" s="262">
        <v>15000</v>
      </c>
      <c r="R15" s="261">
        <v>30</v>
      </c>
      <c r="S15" s="262">
        <v>15000</v>
      </c>
      <c r="T15" s="261">
        <v>100</v>
      </c>
      <c r="U15" s="262">
        <v>50000</v>
      </c>
      <c r="V15" s="5"/>
      <c r="W15" s="5"/>
      <c r="X15" s="5"/>
      <c r="Y15" s="5"/>
      <c r="Z15" s="5"/>
    </row>
    <row r="16" spans="1:26" ht="15.75" customHeight="1">
      <c r="A16" s="255" t="s">
        <v>263</v>
      </c>
      <c r="B16" s="261">
        <v>10</v>
      </c>
      <c r="C16" s="262">
        <v>5000</v>
      </c>
      <c r="D16" s="262">
        <v>30</v>
      </c>
      <c r="E16" s="262">
        <v>15000</v>
      </c>
      <c r="F16" s="262">
        <v>30</v>
      </c>
      <c r="G16" s="262">
        <v>15000</v>
      </c>
      <c r="H16" s="262">
        <v>30</v>
      </c>
      <c r="I16" s="262">
        <v>15000</v>
      </c>
      <c r="J16" s="261">
        <v>100</v>
      </c>
      <c r="K16" s="262">
        <v>50000</v>
      </c>
      <c r="L16" s="261">
        <v>10</v>
      </c>
      <c r="M16" s="262">
        <v>5000</v>
      </c>
      <c r="N16" s="261">
        <v>30</v>
      </c>
      <c r="O16" s="262">
        <v>15000</v>
      </c>
      <c r="P16" s="261">
        <v>30</v>
      </c>
      <c r="Q16" s="262">
        <v>15000</v>
      </c>
      <c r="R16" s="261">
        <v>30</v>
      </c>
      <c r="S16" s="262">
        <v>15000</v>
      </c>
      <c r="T16" s="261">
        <v>100</v>
      </c>
      <c r="U16" s="262">
        <v>50000</v>
      </c>
      <c r="V16" s="5"/>
      <c r="W16" s="5"/>
      <c r="X16" s="5"/>
      <c r="Y16" s="5"/>
      <c r="Z16" s="5"/>
    </row>
    <row r="17" spans="1:26" ht="15.75" customHeight="1">
      <c r="A17" s="255" t="s">
        <v>265</v>
      </c>
      <c r="B17" s="261">
        <v>10</v>
      </c>
      <c r="C17" s="262">
        <v>10000</v>
      </c>
      <c r="D17" s="262">
        <v>30</v>
      </c>
      <c r="E17" s="262">
        <v>30000</v>
      </c>
      <c r="F17" s="262">
        <v>30</v>
      </c>
      <c r="G17" s="262">
        <v>30000</v>
      </c>
      <c r="H17" s="262">
        <v>30</v>
      </c>
      <c r="I17" s="262">
        <v>30000</v>
      </c>
      <c r="J17" s="261">
        <v>100</v>
      </c>
      <c r="K17" s="262">
        <v>100000</v>
      </c>
      <c r="L17" s="261">
        <v>10</v>
      </c>
      <c r="M17" s="262">
        <v>10000</v>
      </c>
      <c r="N17" s="261">
        <v>30</v>
      </c>
      <c r="O17" s="262">
        <v>30000</v>
      </c>
      <c r="P17" s="261">
        <v>30</v>
      </c>
      <c r="Q17" s="262">
        <v>30000</v>
      </c>
      <c r="R17" s="261">
        <v>30</v>
      </c>
      <c r="S17" s="262">
        <v>30000</v>
      </c>
      <c r="T17" s="261">
        <v>100</v>
      </c>
      <c r="U17" s="262">
        <v>100000</v>
      </c>
      <c r="V17" s="5"/>
      <c r="W17" s="5"/>
      <c r="X17" s="5"/>
      <c r="Y17" s="5"/>
      <c r="Z17" s="5"/>
    </row>
    <row r="18" spans="1:26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/>
      <c r="B19" s="5"/>
      <c r="C19" s="5"/>
      <c r="D19" s="44"/>
      <c r="E19" s="44"/>
      <c r="F19" s="44"/>
      <c r="G19" s="44"/>
      <c r="H19" s="4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/>
      <c r="B20" s="5"/>
      <c r="C20" s="44">
        <f>C7+C12+C17</f>
        <v>120000</v>
      </c>
      <c r="D20" s="44"/>
      <c r="E20" s="44">
        <f>E7+E12+E17</f>
        <v>360000</v>
      </c>
      <c r="F20" s="44"/>
      <c r="G20" s="44">
        <f>G7+G12+G17</f>
        <v>360000</v>
      </c>
      <c r="H20" s="44"/>
      <c r="I20" s="44">
        <f>I7+I12+I17</f>
        <v>360000</v>
      </c>
      <c r="J20" s="5"/>
      <c r="K20" s="44">
        <f>K7+K12+K17</f>
        <v>1200000</v>
      </c>
      <c r="L20" s="5"/>
      <c r="M20" s="44">
        <f>M7+M12+M17</f>
        <v>120000</v>
      </c>
      <c r="N20" s="5"/>
      <c r="O20" s="44">
        <f>O7+O12+O17</f>
        <v>360000</v>
      </c>
      <c r="P20" s="5"/>
      <c r="Q20" s="44">
        <f>Q7+Q12+Q17</f>
        <v>360000</v>
      </c>
      <c r="R20" s="5"/>
      <c r="S20" s="44">
        <f>S7+S12+S17</f>
        <v>360000</v>
      </c>
      <c r="T20" s="5"/>
      <c r="U20" s="44">
        <f>U7+U12+U17</f>
        <v>1200000</v>
      </c>
      <c r="V20" s="5"/>
      <c r="W20" s="5"/>
      <c r="X20" s="5"/>
      <c r="Y20" s="5"/>
      <c r="Z20" s="5"/>
    </row>
    <row r="21" spans="1:26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Global(계약시점)</vt:lpstr>
      <vt:lpstr>손익계산서(월별)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 요셉</cp:lastModifiedBy>
  <dcterms:modified xsi:type="dcterms:W3CDTF">2026-03-16T05:49:34Z</dcterms:modified>
</cp:coreProperties>
</file>